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coefficients_bac" sheetId="2" state="visible" r:id="rId4"/>
    <sheet name="coefficients_inphb" sheetId="3" state="visible" r:id="rId5"/>
    <sheet name="eligibilite_inphb" sheetId="4" state="visible" r:id="rId6"/>
    <sheet name="places_estimees" sheetId="5" state="visible" r:id="rId7"/>
    <sheet name="mentions_inphb" sheetId="6" state="visible" r:id="rId8"/>
    <sheet name="stats_series_2025" sheetId="7" state="visible" r:id="rId9"/>
    <sheet name="groupes_matieres" sheetId="8" state="visible" r:id="rId10"/>
    <sheet name="liens_filiere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<sst xmlns="http://schemas.openxmlformats.org/spreadsheetml/2006/main" count="2280" uniqueCount="278">
  <si>
    <t xml:space="preserve">Simulateur INP-HB, fichiers de paramétrage</t>
  </si>
  <si>
    <t xml:space="preserve">Feuille</t>
  </si>
  <si>
    <t xml:space="preserve">Rôle</t>
  </si>
  <si>
    <t xml:space="preserve">Statut</t>
  </si>
  <si>
    <t xml:space="preserve">coefficients_bac</t>
  </si>
  <si>
    <t xml:space="preserve">Matières réelles et coefficients du bac par série. Aucun groupe INP-HB n'est stocké ici.</t>
  </si>
  <si>
    <t xml:space="preserve">Séries générales et techniques</t>
  </si>
  <si>
    <t xml:space="preserve">groupes_matieres</t>
  </si>
  <si>
    <t xml:space="preserve">Correspondance entre chaque matière réelle du bac et les groupes utilisés par les formules INP-HB (MT, Maths, SP, etc.). Le poids pilote la moyenne agrégée.</t>
  </si>
  <si>
    <t xml:space="preserve">Nouveau — source unique des agrégations</t>
  </si>
  <si>
    <t xml:space="preserve">coefficients_inphb</t>
  </si>
  <si>
    <t xml:space="preserve">Formules de moyenne de dossier INP-HB par profil de filière et série.</t>
  </si>
  <si>
    <t xml:space="preserve">Formules disponibles</t>
  </si>
  <si>
    <t xml:space="preserve">eligibilite_inphb</t>
  </si>
  <si>
    <t xml:space="preserve">Correspondance entre filières INP-HB, séries admissibles et profils de coefficients.</t>
  </si>
  <si>
    <t xml:space="preserve">Extrait brochure 2025</t>
  </si>
  <si>
    <t xml:space="preserve">places_estimees</t>
  </si>
  <si>
    <t xml:space="preserve">Estimations de places ou de présélectionnés.</t>
  </si>
  <si>
    <t xml:space="preserve">À compléter</t>
  </si>
  <si>
    <t xml:space="preserve">mentions_inphb</t>
  </si>
  <si>
    <t xml:space="preserve">Distribution et bornes des mentions utilisées pour la population de référence.</t>
  </si>
  <si>
    <t xml:space="preserve">Saisie</t>
  </si>
  <si>
    <t xml:space="preserve">stats_series_2025</t>
  </si>
  <si>
    <t xml:space="preserve">Statistiques nationales BAC 2025 par série.</t>
  </si>
  <si>
    <t xml:space="preserve">Principe des groupes</t>
  </si>
  <si>
    <t xml:space="preserve">Exemple F1</t>
  </si>
  <si>
    <t xml:space="preserve">MT = (MGM Épreuve de spécialité / TP × 9 + MGM Construction / Technologie × 6) / 15</t>
  </si>
  <si>
    <t xml:space="preserve">Maintenance</t>
  </si>
  <si>
    <t xml:space="preserve">Pour modifier la composition de MT, éditer uniquement groupes_matieres. Les coefficients du bac restent dans coefficients_bac.</t>
  </si>
  <si>
    <t xml:space="preserve">Sources</t>
  </si>
  <si>
    <t xml:space="preserve">Calcul moyenne dossier INP-HB</t>
  </si>
  <si>
    <t xml:space="preserve">Document PDF fourni : 606772263-Calcul-Moyenne-concours-BAC-INP-HBpdf.pdf</t>
  </si>
  <si>
    <t xml:space="preserve">Brochure concours BAC 2025</t>
  </si>
  <si>
    <t xml:space="preserve">Document PDF fourni : BROCHURE CONCOURS BAC25_BetterQuality.pdf</t>
  </si>
  <si>
    <t xml:space="preserve">Coefficients BAC généraux</t>
  </si>
  <si>
    <t xml:space="preserve">Images Portail de l'Orientation fournies dans la conversation</t>
  </si>
  <si>
    <t xml:space="preserve">serie</t>
  </si>
  <si>
    <t xml:space="preserve">matiere</t>
  </si>
  <si>
    <t xml:space="preserve">coefficient</t>
  </si>
  <si>
    <t xml:space="preserve">source</t>
  </si>
  <si>
    <t xml:space="preserve">commentaire</t>
  </si>
  <si>
    <t xml:space="preserve">A1</t>
  </si>
  <si>
    <t xml:space="preserve">Philosophie</t>
  </si>
  <si>
    <t xml:space="preserve">Image Portail de l'Orientation</t>
  </si>
  <si>
    <t xml:space="preserve">Français</t>
  </si>
  <si>
    <t xml:space="preserve">3 écrit + 1 oral</t>
  </si>
  <si>
    <t xml:space="preserve">Maths</t>
  </si>
  <si>
    <t xml:space="preserve">Histoire-Géo</t>
  </si>
  <si>
    <t xml:space="preserve">LV1</t>
  </si>
  <si>
    <t xml:space="preserve">écrit</t>
  </si>
  <si>
    <t xml:space="preserve">LV2</t>
  </si>
  <si>
    <t xml:space="preserve">oral</t>
  </si>
  <si>
    <t xml:space="preserve">A2</t>
  </si>
  <si>
    <t xml:space="preserve">2 écrit + 1 oral</t>
  </si>
  <si>
    <t xml:space="preserve">B</t>
  </si>
  <si>
    <t xml:space="preserve">ScEco</t>
  </si>
  <si>
    <t xml:space="preserve">Sciences économiques et sociales</t>
  </si>
  <si>
    <t xml:space="preserve">Langue</t>
  </si>
  <si>
    <t xml:space="preserve">C</t>
  </si>
  <si>
    <t xml:space="preserve">Sciences Physiques</t>
  </si>
  <si>
    <t xml:space="preserve">SVT</t>
  </si>
  <si>
    <t xml:space="preserve">D</t>
  </si>
  <si>
    <t xml:space="preserve">E</t>
  </si>
  <si>
    <t xml:space="preserve">Synthèse fournie par l'utilisateur / à vérifier officiellement</t>
  </si>
  <si>
    <t xml:space="preserve">Construction mécanique / Analyse système</t>
  </si>
  <si>
    <t xml:space="preserve">Anglais</t>
  </si>
  <si>
    <t xml:space="preserve">EPS</t>
  </si>
  <si>
    <t xml:space="preserve">F1</t>
  </si>
  <si>
    <t xml:space="preserve">Épreuve de spécialité / TP</t>
  </si>
  <si>
    <t xml:space="preserve">Construction / Technologie</t>
  </si>
  <si>
    <t xml:space="preserve">F2</t>
  </si>
  <si>
    <t xml:space="preserve">F3</t>
  </si>
  <si>
    <t xml:space="preserve">F4</t>
  </si>
  <si>
    <t xml:space="preserve">F7</t>
  </si>
  <si>
    <t xml:space="preserve">Épreuve de spécialité / TP (Biochimie/SVT)</t>
  </si>
  <si>
    <t xml:space="preserve">Chimie / Laboratoire</t>
  </si>
  <si>
    <t xml:space="preserve">G2</t>
  </si>
  <si>
    <t xml:space="preserve">Étude de cas (Comptabilité/Gestion)</t>
  </si>
  <si>
    <t xml:space="preserve">Mathématiques générales et financières</t>
  </si>
  <si>
    <t xml:space="preserve">EGEED</t>
  </si>
  <si>
    <t xml:space="preserve">DTPI</t>
  </si>
  <si>
    <t xml:space="preserve">CMC</t>
  </si>
  <si>
    <t xml:space="preserve">BTCOMPTA</t>
  </si>
  <si>
    <t xml:space="preserve">Étude de cas (Comptabilité)</t>
  </si>
  <si>
    <t xml:space="preserve">Techniques d'expression</t>
  </si>
  <si>
    <t xml:space="preserve">Économie générale, entreprise et droit</t>
  </si>
  <si>
    <t xml:space="preserve">Mathématiques générales</t>
  </si>
  <si>
    <t xml:space="preserve">Mathématiques appliquées</t>
  </si>
  <si>
    <t xml:space="preserve">Informatique pratique</t>
  </si>
  <si>
    <t xml:space="preserve">CMC / EDHC</t>
  </si>
  <si>
    <t xml:space="preserve">BTSTIC</t>
  </si>
  <si>
    <t xml:space="preserve">Projet technologique / Systèmes informatiques</t>
  </si>
  <si>
    <t xml:space="preserve">Valeur indicative : 8-10</t>
  </si>
  <si>
    <t xml:space="preserve">Valeur indicative : 4</t>
  </si>
  <si>
    <t xml:space="preserve">Valeur indicative : 3</t>
  </si>
  <si>
    <t xml:space="preserve">BTSTGI</t>
  </si>
  <si>
    <t xml:space="preserve">Épreuve pratique Génie industriel / Automatisme</t>
  </si>
  <si>
    <t xml:space="preserve">Valeur indicative : 9</t>
  </si>
  <si>
    <t xml:space="preserve">Physiques appliquées</t>
  </si>
  <si>
    <t xml:space="preserve">BTGC</t>
  </si>
  <si>
    <t xml:space="preserve">Épreuve de spécialité</t>
  </si>
  <si>
    <t xml:space="preserve">Technologie / Analyse</t>
  </si>
  <si>
    <t xml:space="preserve">Valeur indicative : 5</t>
  </si>
  <si>
    <t xml:space="preserve">BTMP</t>
  </si>
  <si>
    <t xml:space="preserve">BTCGP</t>
  </si>
  <si>
    <t xml:space="preserve">BTAGRO-INDUS</t>
  </si>
  <si>
    <t xml:space="preserve">Technologie alimentaire &amp; Biochimie</t>
  </si>
  <si>
    <t xml:space="preserve">Valeur indicative : 8</t>
  </si>
  <si>
    <t xml:space="preserve">Analyses biologiques &amp; Microbiologie</t>
  </si>
  <si>
    <t xml:space="preserve">Techniques d'Expression</t>
  </si>
  <si>
    <t xml:space="preserve">Anglais Technique / Spécialité</t>
  </si>
  <si>
    <t xml:space="preserve">Physiques-Chimie</t>
  </si>
  <si>
    <t xml:space="preserve">cycle</t>
  </si>
  <si>
    <t xml:space="preserve">concours_filiere</t>
  </si>
  <si>
    <t xml:space="preserve">series_autorisees</t>
  </si>
  <si>
    <t xml:space="preserve">coefficient_dossier</t>
  </si>
  <si>
    <t xml:space="preserve">source_page</t>
  </si>
  <si>
    <t xml:space="preserve">ecole</t>
  </si>
  <si>
    <t xml:space="preserve">Court</t>
  </si>
  <si>
    <t xml:space="preserve">GAE</t>
  </si>
  <si>
    <t xml:space="preserve">A1,A2</t>
  </si>
  <si>
    <t xml:space="preserve">Calcul moyenne p.3</t>
  </si>
  <si>
    <t xml:space="preserve">ESCAE</t>
  </si>
  <si>
    <t xml:space="preserve">Long</t>
  </si>
  <si>
    <t xml:space="preserve">ECG</t>
  </si>
  <si>
    <t xml:space="preserve">Calcul moyenne p.4</t>
  </si>
  <si>
    <t xml:space="preserve">C,D</t>
  </si>
  <si>
    <t xml:space="preserve">Calcul moyenne p.5</t>
  </si>
  <si>
    <t xml:space="preserve">TSA</t>
  </si>
  <si>
    <t xml:space="preserve">ESA</t>
  </si>
  <si>
    <t xml:space="preserve">SP</t>
  </si>
  <si>
    <t xml:space="preserve">F7,BTAGRO-INDUS</t>
  </si>
  <si>
    <t xml:space="preserve">MT</t>
  </si>
  <si>
    <t xml:space="preserve">BCPST</t>
  </si>
  <si>
    <t xml:space="preserve">MPSI</t>
  </si>
  <si>
    <t xml:space="preserve">FCA</t>
  </si>
  <si>
    <t xml:space="preserve">G2,BTCOMPTA</t>
  </si>
  <si>
    <t xml:space="preserve">Calcul moyenne p.6</t>
  </si>
  <si>
    <t xml:space="preserve">MP2I</t>
  </si>
  <si>
    <t xml:space="preserve">Calcul moyenne p.7</t>
  </si>
  <si>
    <t xml:space="preserve">PCSI</t>
  </si>
  <si>
    <t xml:space="preserve">Admission court</t>
  </si>
  <si>
    <t xml:space="preserve">ESA_ESI_ESMG_ESTP</t>
  </si>
  <si>
    <t xml:space="preserve">C,D,E,F,BT</t>
  </si>
  <si>
    <t xml:space="preserve">Calcul moyenne p.8</t>
  </si>
  <si>
    <t xml:space="preserve">Culture générale</t>
  </si>
  <si>
    <t xml:space="preserve">Culture scientifique</t>
  </si>
  <si>
    <t xml:space="preserve">A1,A2,B,C,D,G2,BT</t>
  </si>
  <si>
    <t xml:space="preserve">Admission prépa</t>
  </si>
  <si>
    <t xml:space="preserve">C,E</t>
  </si>
  <si>
    <t xml:space="preserve">Calcul moyenne p.9</t>
  </si>
  <si>
    <t xml:space="preserve">A1,B,C,D</t>
  </si>
  <si>
    <t xml:space="preserve">STIC</t>
  </si>
  <si>
    <t xml:space="preserve">ESI</t>
  </si>
  <si>
    <t xml:space="preserve">E,F,BTSTIC</t>
  </si>
  <si>
    <t xml:space="preserve">STGI</t>
  </si>
  <si>
    <t xml:space="preserve">E,F,BTSTGI</t>
  </si>
  <si>
    <t xml:space="preserve">GC</t>
  </si>
  <si>
    <t xml:space="preserve">ESTP</t>
  </si>
  <si>
    <r>
      <rPr>
        <sz val="10"/>
        <rFont val="Arial"/>
        <family val="0"/>
        <charset val="1"/>
      </rPr>
      <t xml:space="preserve">E,F,</t>
    </r>
    <r>
      <rPr>
        <sz val="11"/>
        <rFont val="Calibri"/>
        <family val="0"/>
        <charset val="1"/>
      </rPr>
      <t xml:space="preserve">BTGC</t>
    </r>
  </si>
  <si>
    <t xml:space="preserve">MG</t>
  </si>
  <si>
    <t xml:space="preserve">ESMG</t>
  </si>
  <si>
    <r>
      <rPr>
        <sz val="10"/>
        <rFont val="Arial"/>
        <family val="0"/>
        <charset val="1"/>
      </rPr>
      <t xml:space="preserve">E,F,</t>
    </r>
    <r>
      <rPr>
        <sz val="11"/>
        <rFont val="Calibri"/>
        <family val="0"/>
        <charset val="1"/>
      </rPr>
      <t xml:space="preserve">BTMP</t>
    </r>
  </si>
  <si>
    <t xml:space="preserve">PME</t>
  </si>
  <si>
    <t xml:space="preserve">ESCPE</t>
  </si>
  <si>
    <t xml:space="preserve">CGP</t>
  </si>
  <si>
    <r>
      <rPr>
        <sz val="10"/>
        <rFont val="Arial"/>
        <family val="0"/>
        <charset val="1"/>
      </rPr>
      <t xml:space="preserve">E,F,</t>
    </r>
    <r>
      <rPr>
        <sz val="11"/>
        <rFont val="Calibri"/>
        <family val="0"/>
        <charset val="1"/>
      </rPr>
      <t xml:space="preserve">BTCGP</t>
    </r>
  </si>
  <si>
    <t xml:space="preserve">TSAERO</t>
  </si>
  <si>
    <t xml:space="preserve">ESAS</t>
  </si>
  <si>
    <t xml:space="preserve">E,F1,F2,F3</t>
  </si>
  <si>
    <t xml:space="preserve">groupe_filiere</t>
  </si>
  <si>
    <t xml:space="preserve">specialite</t>
  </si>
  <si>
    <t xml:space="preserve">series_ou_BT_admissibles</t>
  </si>
  <si>
    <t xml:space="preserve">profil_coefficients</t>
  </si>
  <si>
    <t xml:space="preserve">Gestion et Administration des Entreprises</t>
  </si>
  <si>
    <t xml:space="preserve">A1,A2,B,C,D</t>
  </si>
  <si>
    <t xml:space="preserve">Brochure p.3</t>
  </si>
  <si>
    <t xml:space="preserve">Finance, Comptabilité et Assurance</t>
  </si>
  <si>
    <t xml:space="preserve">B,C,D,G2,BTCOMPTA</t>
  </si>
  <si>
    <t xml:space="preserve">EIT, INFO</t>
  </si>
  <si>
    <t xml:space="preserve">C,D,F2,BTSTIC</t>
  </si>
  <si>
    <t xml:space="preserve">EAI, PMSI, MA, MBM</t>
  </si>
  <si>
    <t xml:space="preserve">C,D,E,F1,F3,BTSTGI</t>
  </si>
  <si>
    <t xml:space="preserve">GCTP, GCGT</t>
  </si>
  <si>
    <t xml:space="preserve">C,D,E,F4,BTGC</t>
  </si>
  <si>
    <t xml:space="preserve">MINES, EEM</t>
  </si>
  <si>
    <t xml:space="preserve">C,D,E,BTMP</t>
  </si>
  <si>
    <t xml:space="preserve">Pétrole et Maintenance des Equipements</t>
  </si>
  <si>
    <t xml:space="preserve">Chimie Industrielle</t>
  </si>
  <si>
    <t xml:space="preserve">C,D,BTCGP</t>
  </si>
  <si>
    <t xml:space="preserve">Techniciens Supérieurs en Aéronautique</t>
  </si>
  <si>
    <t xml:space="preserve">C,D,E,F1,F2,F3</t>
  </si>
  <si>
    <t xml:space="preserve">Agronomie, agro-industrie, eau, cultures</t>
  </si>
  <si>
    <t xml:space="preserve">C,D,F7,BTAGRO-INDUS</t>
  </si>
  <si>
    <t xml:space="preserve">EPGE</t>
  </si>
  <si>
    <t xml:space="preserve">Biologie, Chimie, Physique et Sciences de la Terre</t>
  </si>
  <si>
    <t xml:space="preserve">Brochure p.4</t>
  </si>
  <si>
    <t xml:space="preserve">Economique et Commerciale Générale</t>
  </si>
  <si>
    <t xml:space="preserve">PSI, PC</t>
  </si>
  <si>
    <t xml:space="preserve">C,D,E</t>
  </si>
  <si>
    <t xml:space="preserve">MP</t>
  </si>
  <si>
    <t xml:space="preserve">MPI, MP</t>
  </si>
  <si>
    <t xml:space="preserve">LSA</t>
  </si>
  <si>
    <t xml:space="preserve">Littéraire et Scientifique Appliqués</t>
  </si>
  <si>
    <t xml:space="preserve">A1,A2,C,D</t>
  </si>
  <si>
    <t xml:space="preserve">candidats_simules</t>
  </si>
  <si>
    <t xml:space="preserve">actif</t>
  </si>
  <si>
    <t xml:space="preserve">À renseigner</t>
  </si>
  <si>
    <t xml:space="preserve">GAE_GMC_GRH_GSC</t>
  </si>
  <si>
    <t xml:space="preserve">FCA_CCA_BFA</t>
  </si>
  <si>
    <t xml:space="preserve">mention</t>
  </si>
  <si>
    <t xml:space="preserve">borne_min_incluse</t>
  </si>
  <si>
    <t xml:space="preserve">borne_max_exclue</t>
  </si>
  <si>
    <t xml:space="preserve">effectif_inphb_2025</t>
  </si>
  <si>
    <t xml:space="preserve">proportion</t>
  </si>
  <si>
    <t xml:space="preserve">Passable</t>
  </si>
  <si>
    <t xml:space="preserve">Assez Bien</t>
  </si>
  <si>
    <t xml:space="preserve">Bien</t>
  </si>
  <si>
    <t xml:space="preserve">Très Bien</t>
  </si>
  <si>
    <t xml:space="preserve">inscrits_F</t>
  </si>
  <si>
    <t xml:space="preserve">inscrits_M</t>
  </si>
  <si>
    <t xml:space="preserve">inscrits_T</t>
  </si>
  <si>
    <t xml:space="preserve">presents_F</t>
  </si>
  <si>
    <t xml:space="preserve">presents_M</t>
  </si>
  <si>
    <t xml:space="preserve">presents_T</t>
  </si>
  <si>
    <t xml:space="preserve">admis_F</t>
  </si>
  <si>
    <t xml:space="preserve">admis_M</t>
  </si>
  <si>
    <t xml:space="preserve">admis_T</t>
  </si>
  <si>
    <t xml:space="preserve">taux_admis_presents_T</t>
  </si>
  <si>
    <t xml:space="preserve">G1</t>
  </si>
  <si>
    <t xml:space="preserve">H1</t>
  </si>
  <si>
    <t xml:space="preserve">H2</t>
  </si>
  <si>
    <t xml:space="preserve">H3</t>
  </si>
  <si>
    <t xml:space="preserve">TOTAL</t>
  </si>
  <si>
    <t xml:space="preserve">matiere_bac</t>
  </si>
  <si>
    <t xml:space="preserve">groupe_inphb</t>
  </si>
  <si>
    <t xml:space="preserve">poids</t>
  </si>
  <si>
    <t xml:space="preserve">AUTRE</t>
  </si>
  <si>
    <t xml:space="preserve">filiere</t>
  </si>
  <si>
    <t xml:space="preserve">intitule</t>
  </si>
  <si>
    <t xml:space="preserve">url_officielle</t>
  </si>
  <si>
    <t xml:space="preserve">type_lien</t>
  </si>
  <si>
    <t xml:space="preserve">Cycle court</t>
  </si>
  <si>
    <t xml:space="preserve">Gestion appliquée aux entreprises</t>
  </si>
  <si>
    <t xml:space="preserve">https://escae.inphb.ci/public/formations/cycle-technicien-superieur</t>
  </si>
  <si>
    <t xml:space="preserve">Page de l'école</t>
  </si>
  <si>
    <t xml:space="preserve">Offre de formation officielle de l'ESCAE.</t>
  </si>
  <si>
    <t xml:space="preserve">Finance, comptabilité et audit</t>
  </si>
  <si>
    <t xml:space="preserve">CPGE</t>
  </si>
  <si>
    <t xml:space="preserve">Cycle préparatoire</t>
  </si>
  <si>
    <t xml:space="preserve">Économique et commerciale générale</t>
  </si>
  <si>
    <t xml:space="preserve">https://inphb.edu.ci/nos-ecoles/cpge/filieres/</t>
  </si>
  <si>
    <t xml:space="preserve">Plaquette officielle</t>
  </si>
  <si>
    <t xml:space="preserve">Plaquette officielle des classes préparatoires de l'INP-HB.</t>
  </si>
  <si>
    <t xml:space="preserve">Biologie, chimie, physique et sciences de la Terre</t>
  </si>
  <si>
    <t xml:space="preserve">Mathématiques, physique et sciences de l'ingénieur</t>
  </si>
  <si>
    <t xml:space="preserve">Mathématiques, physique, ingénierie et informatique</t>
  </si>
  <si>
    <t xml:space="preserve">Lien vers la présentation officielle des classes préparatoires ; la plaquette publiée peut ne pas détailler cette voie récente.</t>
  </si>
  <si>
    <t xml:space="preserve">Physique, chimie et sciences de l'ingénieur</t>
  </si>
  <si>
    <t xml:space="preserve">Technicien supérieur en agronomie</t>
  </si>
  <si>
    <t xml:space="preserve">https://inphb.ci/static/media/ESA.1e3e6705a0c038fbfec7.pdf</t>
  </si>
  <si>
    <t xml:space="preserve">Plaquette officielle de l'École supérieure d'agronomie.</t>
  </si>
  <si>
    <t xml:space="preserve">Sciences et technologies de l'information et de la communication</t>
  </si>
  <si>
    <t xml:space="preserve">https://inphb.ci/static/media/ESI.6d5a13044a0918a30dd7.pdf</t>
  </si>
  <si>
    <t xml:space="preserve">Plaquette officielle de l'École supérieure d'industrie.</t>
  </si>
  <si>
    <t xml:space="preserve">Sciences et technologies du génie industriel</t>
  </si>
  <si>
    <t xml:space="preserve">Génie civil</t>
  </si>
  <si>
    <t xml:space="preserve">https://inphb.ci/static/media/ESTP.fc83b695d74550741d9b.pdf</t>
  </si>
  <si>
    <t xml:space="preserve">Plaquette officielle de l'École supérieure des travaux publics.</t>
  </si>
  <si>
    <t xml:space="preserve">Mines et géologie</t>
  </si>
  <si>
    <t xml:space="preserve">https://inphb.ci/static/media/ESMG.3673dcbd14528ad175ac.pdf</t>
  </si>
  <si>
    <t xml:space="preserve">Plaquette officielle de l'École supérieure des mines et de géologie.</t>
  </si>
  <si>
    <t xml:space="preserve">Procédés et maîtrise de l'énergie</t>
  </si>
  <si>
    <t xml:space="preserve">https://inphb.edu.ci/nos-ecoles/</t>
  </si>
  <si>
    <t xml:space="preserve">Site officiel INP-HB</t>
  </si>
  <si>
    <t xml:space="preserve">Aucune fiche publique stable et spécifique n'a été identifiée ; lien vers le site officiel.</t>
  </si>
  <si>
    <t xml:space="preserve">Chimie et génie des procédés</t>
  </si>
  <si>
    <t xml:space="preserve">Technicien supérieur aéronautique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</si>
</sst>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 %"/>
    <numFmt numFmtId="170" formatCode="General"/>
    <numFmt numFmtId="171" formatCode="0.00\ %"/>
    <numFmt numFmtId="172" formatCode="0.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23B5D"/>
      </patternFill>
    </fill>
    <fill>
      <patternFill patternType="solid">
        <fgColor rgb="FFD9EAF7"/>
        <bgColor rgb="FFCCFBF1"/>
      </patternFill>
    </fill>
    <fill>
      <patternFill patternType="solid">
        <fgColor rgb="FFCCFBF1"/>
        <bgColor rgb="FFCCFFCC"/>
      </patternFill>
    </fill>
    <fill>
      <patternFill patternType="solid">
        <fgColor rgb="FF0F766E"/>
        <bgColor rgb="FF008080"/>
      </patternFill>
    </fill>
    <fill>
      <patternFill patternType="solid">
        <fgColor rgb="FF123B5D"/>
        <bgColor rgb="FF1F4E78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9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8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2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0" xfId="28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0" xfId="28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9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9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9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6" fillId="0" borderId="0" xfId="29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1" fontId="6" fillId="0" borderId="0" xfId="29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2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4" fillId="0" borderId="0" xfId="2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6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8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5" xfId="29"/>
    <cellStyle name="Percent" xfId="30"/>
    <cellStyle name="Percent 6" xfId="31"/>
  </cellStyles>
  <dxfs count="5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EF3C7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5D"/>
      <rgbColor rgb="FF339966"/>
      <rgbColor rgb="FF0F172A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effBac" displayName="TblCoeffBac" ref="A1:E33" headerRowCount="1" totalsRowCount="0" totalsRowShown="0">
  <tableColumns count="5">
    <tableColumn id="1" name="serie"/>
    <tableColumn id="2" name="matiere"/>
    <tableColumn id="3" name="coefficient"/>
    <tableColumn id="4" name="source"/>
    <tableColumn id="5" name="commentaire"/>
  </tableColumns>
</table>
</file>

<file path=xl/tables/table2.xml><?xml version="1.0" encoding="utf-8"?>
<table xmlns="http://schemas.openxmlformats.org/spreadsheetml/2006/main" id="2" name="TblCoeffINPHB" displayName="TblCoeffINPHB" ref="A1:H162" headerRowCount="1" totalsRowCount="0" totalsRowShown="0">
  <autoFilter ref="A1:H162">
    <filterColumn colId="0">
      <filters blank="1">
        <filter val="Court"/>
      </filters>
    </filterColumn>
  </autoFilter>
  <tableColumns count="8">
    <tableColumn id="1" name="cycle"/>
    <tableColumn id="2" name="concours_filiere"/>
    <tableColumn id="3" name="series_autorisees"/>
    <tableColumn id="4" name="matiere"/>
    <tableColumn id="5" name="coefficient_dossier"/>
    <tableColumn id="6" name="source_page"/>
    <tableColumn id="7" name="ecole"/>
    <tableColumn id="8" name=""/>
  </tableColumns>
</table>
</file>

<file path=xl/tables/table3.xml><?xml version="1.0" encoding="utf-8"?>
<table xmlns="http://schemas.openxmlformats.org/spreadsheetml/2006/main" id="3" name="TblEligibilite" displayName="TblEligibilite" ref="A1:F17" headerRowCount="1" totalsRowCount="0" totalsRowShown="0">
  <tableColumns count="6">
    <tableColumn id="1" name="cycle"/>
    <tableColumn id="2" name="ecole"/>
    <tableColumn id="3" name="groupe_filiere"/>
    <tableColumn id="4" name="specialite"/>
    <tableColumn id="5" name="series_ou_BT_admissibles"/>
    <tableColumn id="6" name="source_page"/>
  </tableColumns>
</table>
</file>

<file path=xl/tables/table4.xml><?xml version="1.0" encoding="utf-8"?>
<table xmlns="http://schemas.openxmlformats.org/spreadsheetml/2006/main" id="4" name="TblMentions" displayName="TblMentions" ref="A1:E5" headerRowCount="1" totalsRowCount="0" totalsRowShown="0">
  <tableColumns count="5">
    <tableColumn id="1" name="mention"/>
    <tableColumn id="2" name="borne_min_incluse"/>
    <tableColumn id="3" name="borne_max_exclue"/>
    <tableColumn id="4" name="effectif_inphb_2025"/>
    <tableColumn id="5" name="proportion"/>
  </tableColumns>
</table>
</file>

<file path=xl/tables/table5.xml><?xml version="1.0" encoding="utf-8"?>
<table xmlns="http://schemas.openxmlformats.org/spreadsheetml/2006/main" id="5" name="TblPlaces" displayName="TblPlaces" ref="A1:F17" headerRowCount="1" totalsRowCount="0" totalsRowShown="0">
  <tableColumns count="6">
    <tableColumn id="1" name="cycle"/>
    <tableColumn id="2" name="groupe_filiere"/>
    <tableColumn id="3" name="places_estimees"/>
    <tableColumn id="4" name="candidats_simules"/>
    <tableColumn id="5" name="actif"/>
    <tableColumn id="6" name="commentaire"/>
  </tableColumns>
</table>
</file>

<file path=xl/tables/table6.xml><?xml version="1.0" encoding="utf-8"?>
<table xmlns="http://schemas.openxmlformats.org/spreadsheetml/2006/main" id="6" name="TblStatsSeries" displayName="TblStatsSeries" ref="A1:K18" headerRowCount="1" totalsRowCount="0" totalsRowShown="0">
  <tableColumns count="11">
    <tableColumn id="1" name="serie"/>
    <tableColumn id="2" name="inscrits_F"/>
    <tableColumn id="3" name="inscrits_M"/>
    <tableColumn id="4" name="inscrits_T"/>
    <tableColumn id="5" name="presents_F"/>
    <tableColumn id="6" name="presents_M"/>
    <tableColumn id="7" name="presents_T"/>
    <tableColumn id="8" name="admis_F"/>
    <tableColumn id="9" name="admis_M"/>
    <tableColumn id="10" name="admis_T"/>
    <tableColumn id="11" name="taux_admis_presents_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6 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30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</row>
    <row r="2" customFormat="false" ht="15" hidden="false" customHeight="true" outlineLevel="0" collapsed="false">
      <c r="A2" s="4"/>
      <c r="B2" s="4"/>
      <c r="C2" s="4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5" t="s">
        <v>1</v>
      </c>
      <c r="B3" s="5" t="s">
        <v>2</v>
      </c>
      <c r="C3" s="5" t="s">
        <v>3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4" t="s">
        <v>4</v>
      </c>
      <c r="B4" s="4" t="s">
        <v>5</v>
      </c>
      <c r="C4" s="4" t="s">
        <v>6</v>
      </c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4" t="s">
        <v>7</v>
      </c>
      <c r="B5" s="4" t="s">
        <v>8</v>
      </c>
      <c r="C5" s="4" t="s">
        <v>9</v>
      </c>
      <c r="D5" s="3"/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4" t="s">
        <v>10</v>
      </c>
      <c r="B6" s="4" t="s">
        <v>11</v>
      </c>
      <c r="C6" s="4" t="s">
        <v>12</v>
      </c>
      <c r="D6" s="3"/>
      <c r="E6" s="3"/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4" t="s">
        <v>13</v>
      </c>
      <c r="B7" s="4" t="s">
        <v>14</v>
      </c>
      <c r="C7" s="4" t="s">
        <v>15</v>
      </c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4" t="s">
        <v>16</v>
      </c>
      <c r="B8" s="4" t="s">
        <v>17</v>
      </c>
      <c r="C8" s="4" t="s">
        <v>18</v>
      </c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4" t="s">
        <v>19</v>
      </c>
      <c r="B9" s="4" t="s">
        <v>20</v>
      </c>
      <c r="C9" s="4" t="s">
        <v>21</v>
      </c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4" t="s">
        <v>22</v>
      </c>
      <c r="B10" s="4" t="s">
        <v>23</v>
      </c>
      <c r="C10" s="4" t="s">
        <v>21</v>
      </c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3"/>
      <c r="I11" s="3"/>
      <c r="J11" s="3"/>
      <c r="K11" s="3"/>
    </row>
    <row r="12" customFormat="false" ht="15" hidden="false" customHeight="true" outlineLevel="0" collapsed="false">
      <c r="A12" s="7" t="s">
        <v>24</v>
      </c>
      <c r="B12" s="7"/>
      <c r="C12" s="7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4" t="s">
        <v>25</v>
      </c>
      <c r="B13" s="4" t="s">
        <v>26</v>
      </c>
      <c r="C13" s="4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4" t="s">
        <v>27</v>
      </c>
      <c r="B14" s="4" t="s">
        <v>28</v>
      </c>
      <c r="C14" s="4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4"/>
      <c r="B15" s="4"/>
      <c r="C15" s="4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7" t="s">
        <v>29</v>
      </c>
      <c r="B16" s="7"/>
      <c r="C16" s="7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4" t="s">
        <v>30</v>
      </c>
      <c r="B17" s="4" t="s">
        <v>31</v>
      </c>
      <c r="C17" s="4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4" t="s">
        <v>32</v>
      </c>
      <c r="B18" s="4" t="s">
        <v>33</v>
      </c>
      <c r="C18" s="4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4" t="s">
        <v>34</v>
      </c>
      <c r="B19" s="4" t="s">
        <v>35</v>
      </c>
      <c r="C19" s="4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B105" activeCellId="1" sqref="E2:E16 B105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36.88"/>
    <col collapsed="false" customWidth="true" hidden="false" outlineLevel="0" max="3" min="3" style="1" width="15.89"/>
    <col collapsed="false" customWidth="true" hidden="false" outlineLevel="0" max="4" min="4" style="1" width="36.32"/>
    <col collapsed="false" customWidth="true" hidden="false" outlineLevel="0" max="5" min="5" style="1" width="39.73"/>
    <col collapsed="false" customWidth="true" hidden="false" outlineLevel="0" max="6" min="6" style="8" width="18"/>
  </cols>
  <sheetData>
    <row r="1" customFormat="false" ht="15" hidden="false" customHeight="tru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41</v>
      </c>
      <c r="B2" s="3" t="s">
        <v>42</v>
      </c>
      <c r="C2" s="3" t="n">
        <v>5</v>
      </c>
      <c r="D2" s="3" t="s">
        <v>43</v>
      </c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41</v>
      </c>
      <c r="B3" s="3" t="s">
        <v>44</v>
      </c>
      <c r="C3" s="3" t="n">
        <v>4</v>
      </c>
      <c r="D3" s="3" t="s">
        <v>43</v>
      </c>
      <c r="E3" s="3" t="s">
        <v>45</v>
      </c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41</v>
      </c>
      <c r="B4" s="3" t="s">
        <v>46</v>
      </c>
      <c r="C4" s="3" t="n">
        <v>3</v>
      </c>
      <c r="D4" s="3" t="s">
        <v>43</v>
      </c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41</v>
      </c>
      <c r="B5" s="3" t="s">
        <v>47</v>
      </c>
      <c r="C5" s="3" t="n">
        <v>3</v>
      </c>
      <c r="D5" s="3" t="s">
        <v>43</v>
      </c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41</v>
      </c>
      <c r="B6" s="3" t="s">
        <v>48</v>
      </c>
      <c r="C6" s="3" t="n">
        <v>4</v>
      </c>
      <c r="D6" s="3" t="s">
        <v>43</v>
      </c>
      <c r="E6" s="3" t="s">
        <v>49</v>
      </c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41</v>
      </c>
      <c r="B7" s="3" t="s">
        <v>50</v>
      </c>
      <c r="C7" s="3" t="n">
        <v>1</v>
      </c>
      <c r="D7" s="3" t="s">
        <v>43</v>
      </c>
      <c r="E7" s="3" t="s">
        <v>51</v>
      </c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52</v>
      </c>
      <c r="B8" s="3" t="s">
        <v>42</v>
      </c>
      <c r="C8" s="3" t="n">
        <v>5</v>
      </c>
      <c r="D8" s="3" t="s">
        <v>43</v>
      </c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52</v>
      </c>
      <c r="B9" s="3" t="s">
        <v>44</v>
      </c>
      <c r="C9" s="3" t="n">
        <v>4</v>
      </c>
      <c r="D9" s="3" t="s">
        <v>43</v>
      </c>
      <c r="E9" s="3" t="s">
        <v>45</v>
      </c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3" t="s">
        <v>52</v>
      </c>
      <c r="B10" s="3" t="s">
        <v>48</v>
      </c>
      <c r="C10" s="3" t="n">
        <v>3</v>
      </c>
      <c r="D10" s="3" t="s">
        <v>43</v>
      </c>
      <c r="E10" s="3" t="s">
        <v>53</v>
      </c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3" t="s">
        <v>52</v>
      </c>
      <c r="B11" s="3" t="s">
        <v>47</v>
      </c>
      <c r="C11" s="3" t="n">
        <v>3</v>
      </c>
      <c r="D11" s="3" t="s">
        <v>43</v>
      </c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3" t="s">
        <v>52</v>
      </c>
      <c r="B12" s="3" t="s">
        <v>50</v>
      </c>
      <c r="C12" s="3" t="n">
        <v>3</v>
      </c>
      <c r="D12" s="3" t="s">
        <v>43</v>
      </c>
      <c r="E12" s="3" t="s">
        <v>53</v>
      </c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52</v>
      </c>
      <c r="B13" s="3" t="s">
        <v>46</v>
      </c>
      <c r="C13" s="3" t="n">
        <v>2</v>
      </c>
      <c r="D13" s="3" t="s">
        <v>43</v>
      </c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54</v>
      </c>
      <c r="B14" s="3" t="s">
        <v>55</v>
      </c>
      <c r="C14" s="3" t="n">
        <v>4</v>
      </c>
      <c r="D14" s="3" t="s">
        <v>43</v>
      </c>
      <c r="E14" s="3" t="s">
        <v>56</v>
      </c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 t="s">
        <v>54</v>
      </c>
      <c r="B15" s="3" t="s">
        <v>46</v>
      </c>
      <c r="C15" s="3" t="n">
        <v>4</v>
      </c>
      <c r="D15" s="3" t="s">
        <v>43</v>
      </c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 t="s">
        <v>54</v>
      </c>
      <c r="B16" s="3" t="s">
        <v>44</v>
      </c>
      <c r="C16" s="3" t="n">
        <v>4</v>
      </c>
      <c r="D16" s="3" t="s">
        <v>43</v>
      </c>
      <c r="E16" s="3" t="s">
        <v>45</v>
      </c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 t="s">
        <v>54</v>
      </c>
      <c r="B17" s="3" t="s">
        <v>42</v>
      </c>
      <c r="C17" s="3" t="n">
        <v>2</v>
      </c>
      <c r="D17" s="3" t="s">
        <v>43</v>
      </c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 t="s">
        <v>54</v>
      </c>
      <c r="B18" s="3" t="s">
        <v>57</v>
      </c>
      <c r="C18" s="3" t="n">
        <v>3</v>
      </c>
      <c r="D18" s="3" t="s">
        <v>43</v>
      </c>
      <c r="E18" s="3" t="s">
        <v>53</v>
      </c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 t="s">
        <v>54</v>
      </c>
      <c r="B19" s="3" t="s">
        <v>47</v>
      </c>
      <c r="C19" s="3" t="n">
        <v>3</v>
      </c>
      <c r="D19" s="3" t="s">
        <v>43</v>
      </c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 t="s">
        <v>58</v>
      </c>
      <c r="B20" s="3" t="s">
        <v>46</v>
      </c>
      <c r="C20" s="3" t="n">
        <v>5</v>
      </c>
      <c r="D20" s="3" t="s">
        <v>43</v>
      </c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 t="s">
        <v>58</v>
      </c>
      <c r="B21" s="3" t="s">
        <v>59</v>
      </c>
      <c r="C21" s="3" t="n">
        <v>5</v>
      </c>
      <c r="D21" s="3" t="s">
        <v>43</v>
      </c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 t="s">
        <v>58</v>
      </c>
      <c r="B22" s="3" t="s">
        <v>60</v>
      </c>
      <c r="C22" s="3" t="n">
        <v>2</v>
      </c>
      <c r="D22" s="3" t="s">
        <v>43</v>
      </c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 t="s">
        <v>58</v>
      </c>
      <c r="B23" s="3" t="s">
        <v>44</v>
      </c>
      <c r="C23" s="3" t="n">
        <v>3</v>
      </c>
      <c r="D23" s="3" t="s">
        <v>43</v>
      </c>
      <c r="E23" s="3" t="s">
        <v>53</v>
      </c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 t="s">
        <v>58</v>
      </c>
      <c r="B24" s="3" t="s">
        <v>42</v>
      </c>
      <c r="C24" s="3" t="n">
        <v>2</v>
      </c>
      <c r="D24" s="3" t="s">
        <v>43</v>
      </c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 t="s">
        <v>58</v>
      </c>
      <c r="B25" s="3" t="s">
        <v>57</v>
      </c>
      <c r="C25" s="3" t="n">
        <v>1</v>
      </c>
      <c r="D25" s="3" t="s">
        <v>43</v>
      </c>
      <c r="E25" s="3" t="s">
        <v>51</v>
      </c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 t="s">
        <v>58</v>
      </c>
      <c r="B26" s="3" t="s">
        <v>47</v>
      </c>
      <c r="C26" s="3" t="n">
        <v>2</v>
      </c>
      <c r="D26" s="3" t="s">
        <v>43</v>
      </c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 t="s">
        <v>61</v>
      </c>
      <c r="B27" s="3" t="s">
        <v>46</v>
      </c>
      <c r="C27" s="3" t="n">
        <v>4</v>
      </c>
      <c r="D27" s="3" t="s">
        <v>43</v>
      </c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 t="s">
        <v>61</v>
      </c>
      <c r="B28" s="3" t="s">
        <v>59</v>
      </c>
      <c r="C28" s="3" t="n">
        <v>4</v>
      </c>
      <c r="D28" s="3" t="s">
        <v>43</v>
      </c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 t="s">
        <v>61</v>
      </c>
      <c r="B29" s="3" t="s">
        <v>60</v>
      </c>
      <c r="C29" s="3" t="n">
        <v>4</v>
      </c>
      <c r="D29" s="3" t="s">
        <v>43</v>
      </c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 t="s">
        <v>61</v>
      </c>
      <c r="B30" s="3" t="s">
        <v>44</v>
      </c>
      <c r="C30" s="3" t="n">
        <v>3</v>
      </c>
      <c r="D30" s="3" t="s">
        <v>43</v>
      </c>
      <c r="E30" s="3" t="s">
        <v>53</v>
      </c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 t="s">
        <v>61</v>
      </c>
      <c r="B31" s="3" t="s">
        <v>42</v>
      </c>
      <c r="C31" s="3" t="n">
        <v>2</v>
      </c>
      <c r="D31" s="3" t="s">
        <v>43</v>
      </c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 t="s">
        <v>61</v>
      </c>
      <c r="B32" s="3" t="s">
        <v>57</v>
      </c>
      <c r="C32" s="3" t="n">
        <v>1</v>
      </c>
      <c r="D32" s="3" t="s">
        <v>43</v>
      </c>
      <c r="E32" s="3" t="s">
        <v>51</v>
      </c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 t="s">
        <v>61</v>
      </c>
      <c r="B33" s="3" t="s">
        <v>47</v>
      </c>
      <c r="C33" s="3" t="n">
        <v>2</v>
      </c>
      <c r="D33" s="3" t="s">
        <v>43</v>
      </c>
      <c r="E33" s="3"/>
      <c r="F33" s="3"/>
      <c r="G33" s="3"/>
      <c r="H33" s="3"/>
      <c r="I33" s="3"/>
      <c r="J33" s="3"/>
      <c r="K33" s="3"/>
    </row>
    <row r="34" customFormat="false" ht="15" hidden="false" customHeight="false" outlineLevel="0" collapsed="false">
      <c r="A34" s="1" t="s">
        <v>62</v>
      </c>
      <c r="B34" s="1" t="s">
        <v>46</v>
      </c>
      <c r="C34" s="1" t="n">
        <v>5</v>
      </c>
      <c r="D34" s="1" t="s">
        <v>63</v>
      </c>
    </row>
    <row r="35" customFormat="false" ht="15" hidden="false" customHeight="false" outlineLevel="0" collapsed="false">
      <c r="A35" s="1" t="s">
        <v>62</v>
      </c>
      <c r="B35" s="1" t="s">
        <v>59</v>
      </c>
      <c r="C35" s="1" t="n">
        <v>5</v>
      </c>
      <c r="D35" s="1" t="s">
        <v>63</v>
      </c>
    </row>
    <row r="36" customFormat="false" ht="15" hidden="false" customHeight="false" outlineLevel="0" collapsed="false">
      <c r="A36" s="1" t="s">
        <v>62</v>
      </c>
      <c r="B36" s="1" t="s">
        <v>64</v>
      </c>
      <c r="C36" s="1" t="n">
        <v>5</v>
      </c>
      <c r="D36" s="1" t="s">
        <v>63</v>
      </c>
    </row>
    <row r="37" customFormat="false" ht="15" hidden="false" customHeight="false" outlineLevel="0" collapsed="false">
      <c r="A37" s="1" t="s">
        <v>62</v>
      </c>
      <c r="B37" s="1" t="s">
        <v>44</v>
      </c>
      <c r="C37" s="1" t="n">
        <v>3</v>
      </c>
      <c r="D37" s="1" t="s">
        <v>63</v>
      </c>
    </row>
    <row r="38" customFormat="false" ht="15" hidden="false" customHeight="false" outlineLevel="0" collapsed="false">
      <c r="A38" s="1" t="s">
        <v>62</v>
      </c>
      <c r="B38" s="1" t="s">
        <v>42</v>
      </c>
      <c r="C38" s="1" t="n">
        <v>2</v>
      </c>
      <c r="D38" s="1" t="s">
        <v>63</v>
      </c>
    </row>
    <row r="39" customFormat="false" ht="15" hidden="false" customHeight="false" outlineLevel="0" collapsed="false">
      <c r="A39" s="1" t="s">
        <v>62</v>
      </c>
      <c r="B39" s="1" t="s">
        <v>65</v>
      </c>
      <c r="C39" s="1" t="n">
        <v>2</v>
      </c>
      <c r="D39" s="1" t="s">
        <v>63</v>
      </c>
    </row>
    <row r="40" customFormat="false" ht="15" hidden="false" customHeight="false" outlineLevel="0" collapsed="false">
      <c r="A40" s="1" t="s">
        <v>62</v>
      </c>
      <c r="B40" s="1" t="s">
        <v>47</v>
      </c>
      <c r="C40" s="1" t="n">
        <v>2</v>
      </c>
      <c r="D40" s="1" t="s">
        <v>63</v>
      </c>
    </row>
    <row r="41" customFormat="false" ht="15" hidden="false" customHeight="false" outlineLevel="0" collapsed="false">
      <c r="A41" s="1" t="s">
        <v>62</v>
      </c>
      <c r="B41" s="1" t="s">
        <v>66</v>
      </c>
      <c r="C41" s="1" t="n">
        <v>1</v>
      </c>
      <c r="D41" s="1" t="s">
        <v>63</v>
      </c>
    </row>
    <row r="42" customFormat="false" ht="15" hidden="false" customHeight="false" outlineLevel="0" collapsed="false">
      <c r="A42" s="1" t="s">
        <v>67</v>
      </c>
      <c r="B42" s="1" t="s">
        <v>68</v>
      </c>
      <c r="C42" s="1" t="n">
        <v>9</v>
      </c>
      <c r="D42" s="1" t="s">
        <v>63</v>
      </c>
    </row>
    <row r="43" customFormat="false" ht="15" hidden="false" customHeight="false" outlineLevel="0" collapsed="false">
      <c r="A43" s="1" t="s">
        <v>67</v>
      </c>
      <c r="B43" s="1" t="s">
        <v>69</v>
      </c>
      <c r="C43" s="1" t="n">
        <v>6</v>
      </c>
      <c r="D43" s="1" t="s">
        <v>63</v>
      </c>
    </row>
    <row r="44" customFormat="false" ht="15" hidden="false" customHeight="false" outlineLevel="0" collapsed="false">
      <c r="A44" s="1" t="s">
        <v>67</v>
      </c>
      <c r="B44" s="1" t="s">
        <v>59</v>
      </c>
      <c r="C44" s="1" t="n">
        <v>4</v>
      </c>
      <c r="D44" s="1" t="s">
        <v>63</v>
      </c>
    </row>
    <row r="45" customFormat="false" ht="15" hidden="false" customHeight="false" outlineLevel="0" collapsed="false">
      <c r="A45" s="1" t="s">
        <v>67</v>
      </c>
      <c r="B45" s="1" t="s">
        <v>46</v>
      </c>
      <c r="C45" s="1" t="n">
        <v>4</v>
      </c>
      <c r="D45" s="1" t="s">
        <v>63</v>
      </c>
    </row>
    <row r="46" customFormat="false" ht="15" hidden="false" customHeight="false" outlineLevel="0" collapsed="false">
      <c r="A46" s="1" t="s">
        <v>67</v>
      </c>
      <c r="B46" s="1" t="s">
        <v>44</v>
      </c>
      <c r="C46" s="1" t="n">
        <v>3</v>
      </c>
      <c r="D46" s="1" t="s">
        <v>63</v>
      </c>
    </row>
    <row r="47" customFormat="false" ht="15" hidden="false" customHeight="false" outlineLevel="0" collapsed="false">
      <c r="A47" s="1" t="s">
        <v>67</v>
      </c>
      <c r="B47" s="1" t="s">
        <v>42</v>
      </c>
      <c r="C47" s="1" t="n">
        <v>2</v>
      </c>
      <c r="D47" s="1" t="s">
        <v>63</v>
      </c>
    </row>
    <row r="48" customFormat="false" ht="15" hidden="false" customHeight="false" outlineLevel="0" collapsed="false">
      <c r="A48" s="1" t="s">
        <v>67</v>
      </c>
      <c r="B48" s="1" t="s">
        <v>65</v>
      </c>
      <c r="C48" s="1" t="n">
        <v>2</v>
      </c>
      <c r="D48" s="1" t="s">
        <v>63</v>
      </c>
    </row>
    <row r="49" customFormat="false" ht="15" hidden="false" customHeight="false" outlineLevel="0" collapsed="false">
      <c r="A49" s="1" t="s">
        <v>67</v>
      </c>
      <c r="B49" s="1" t="s">
        <v>47</v>
      </c>
      <c r="C49" s="1" t="n">
        <v>1</v>
      </c>
      <c r="D49" s="1" t="s">
        <v>63</v>
      </c>
    </row>
    <row r="50" customFormat="false" ht="15" hidden="false" customHeight="false" outlineLevel="0" collapsed="false">
      <c r="A50" s="1" t="s">
        <v>67</v>
      </c>
      <c r="B50" s="1" t="s">
        <v>66</v>
      </c>
      <c r="C50" s="1" t="n">
        <v>1</v>
      </c>
      <c r="D50" s="1" t="s">
        <v>63</v>
      </c>
    </row>
    <row r="51" customFormat="false" ht="15" hidden="false" customHeight="false" outlineLevel="0" collapsed="false">
      <c r="A51" s="1" t="s">
        <v>70</v>
      </c>
      <c r="B51" s="1" t="s">
        <v>68</v>
      </c>
      <c r="C51" s="1" t="n">
        <v>9</v>
      </c>
      <c r="D51" s="1" t="s">
        <v>63</v>
      </c>
    </row>
    <row r="52" customFormat="false" ht="15" hidden="false" customHeight="false" outlineLevel="0" collapsed="false">
      <c r="A52" s="1" t="s">
        <v>70</v>
      </c>
      <c r="B52" s="1" t="s">
        <v>69</v>
      </c>
      <c r="C52" s="1" t="n">
        <v>6</v>
      </c>
      <c r="D52" s="1" t="s">
        <v>63</v>
      </c>
    </row>
    <row r="53" customFormat="false" ht="15" hidden="false" customHeight="false" outlineLevel="0" collapsed="false">
      <c r="A53" s="1" t="s">
        <v>70</v>
      </c>
      <c r="B53" s="1" t="s">
        <v>59</v>
      </c>
      <c r="C53" s="1" t="n">
        <v>7</v>
      </c>
      <c r="D53" s="1" t="s">
        <v>63</v>
      </c>
    </row>
    <row r="54" customFormat="false" ht="15" hidden="false" customHeight="false" outlineLevel="0" collapsed="false">
      <c r="A54" s="1" t="s">
        <v>70</v>
      </c>
      <c r="B54" s="1" t="s">
        <v>46</v>
      </c>
      <c r="C54" s="1" t="n">
        <v>4</v>
      </c>
      <c r="D54" s="1" t="s">
        <v>63</v>
      </c>
    </row>
    <row r="55" customFormat="false" ht="15" hidden="false" customHeight="false" outlineLevel="0" collapsed="false">
      <c r="A55" s="1" t="s">
        <v>70</v>
      </c>
      <c r="B55" s="1" t="s">
        <v>44</v>
      </c>
      <c r="C55" s="1" t="n">
        <v>3</v>
      </c>
      <c r="D55" s="1" t="s">
        <v>63</v>
      </c>
    </row>
    <row r="56" customFormat="false" ht="15" hidden="false" customHeight="false" outlineLevel="0" collapsed="false">
      <c r="A56" s="1" t="s">
        <v>70</v>
      </c>
      <c r="B56" s="1" t="s">
        <v>42</v>
      </c>
      <c r="C56" s="1" t="n">
        <v>2</v>
      </c>
      <c r="D56" s="1" t="s">
        <v>63</v>
      </c>
    </row>
    <row r="57" customFormat="false" ht="15" hidden="false" customHeight="false" outlineLevel="0" collapsed="false">
      <c r="A57" s="1" t="s">
        <v>70</v>
      </c>
      <c r="B57" s="1" t="s">
        <v>65</v>
      </c>
      <c r="C57" s="1" t="n">
        <v>2</v>
      </c>
      <c r="D57" s="1" t="s">
        <v>63</v>
      </c>
    </row>
    <row r="58" customFormat="false" ht="15" hidden="false" customHeight="false" outlineLevel="0" collapsed="false">
      <c r="A58" s="1" t="s">
        <v>70</v>
      </c>
      <c r="B58" s="1" t="s">
        <v>47</v>
      </c>
      <c r="C58" s="1" t="n">
        <v>1</v>
      </c>
      <c r="D58" s="1" t="s">
        <v>63</v>
      </c>
    </row>
    <row r="59" customFormat="false" ht="15" hidden="false" customHeight="false" outlineLevel="0" collapsed="false">
      <c r="A59" s="1" t="s">
        <v>70</v>
      </c>
      <c r="B59" s="1" t="s">
        <v>66</v>
      </c>
      <c r="C59" s="1" t="n">
        <v>1</v>
      </c>
      <c r="D59" s="1" t="s">
        <v>63</v>
      </c>
    </row>
    <row r="60" customFormat="false" ht="15" hidden="false" customHeight="false" outlineLevel="0" collapsed="false">
      <c r="A60" s="1" t="s">
        <v>71</v>
      </c>
      <c r="B60" s="1" t="s">
        <v>68</v>
      </c>
      <c r="C60" s="1" t="n">
        <v>9</v>
      </c>
      <c r="D60" s="1" t="s">
        <v>63</v>
      </c>
    </row>
    <row r="61" customFormat="false" ht="15" hidden="false" customHeight="false" outlineLevel="0" collapsed="false">
      <c r="A61" s="1" t="s">
        <v>71</v>
      </c>
      <c r="B61" s="1" t="s">
        <v>69</v>
      </c>
      <c r="C61" s="1" t="n">
        <v>6</v>
      </c>
      <c r="D61" s="1" t="s">
        <v>63</v>
      </c>
    </row>
    <row r="62" customFormat="false" ht="15" hidden="false" customHeight="false" outlineLevel="0" collapsed="false">
      <c r="A62" s="1" t="s">
        <v>71</v>
      </c>
      <c r="B62" s="1" t="s">
        <v>59</v>
      </c>
      <c r="C62" s="1" t="n">
        <v>7</v>
      </c>
      <c r="D62" s="1" t="s">
        <v>63</v>
      </c>
    </row>
    <row r="63" customFormat="false" ht="15" hidden="false" customHeight="false" outlineLevel="0" collapsed="false">
      <c r="A63" s="1" t="s">
        <v>71</v>
      </c>
      <c r="B63" s="1" t="s">
        <v>46</v>
      </c>
      <c r="C63" s="1" t="n">
        <v>4</v>
      </c>
      <c r="D63" s="1" t="s">
        <v>63</v>
      </c>
    </row>
    <row r="64" customFormat="false" ht="15" hidden="false" customHeight="false" outlineLevel="0" collapsed="false">
      <c r="A64" s="1" t="s">
        <v>71</v>
      </c>
      <c r="B64" s="1" t="s">
        <v>44</v>
      </c>
      <c r="C64" s="1" t="n">
        <v>3</v>
      </c>
      <c r="D64" s="1" t="s">
        <v>63</v>
      </c>
    </row>
    <row r="65" customFormat="false" ht="15" hidden="false" customHeight="false" outlineLevel="0" collapsed="false">
      <c r="A65" s="1" t="s">
        <v>71</v>
      </c>
      <c r="B65" s="1" t="s">
        <v>42</v>
      </c>
      <c r="C65" s="1" t="n">
        <v>2</v>
      </c>
      <c r="D65" s="1" t="s">
        <v>63</v>
      </c>
    </row>
    <row r="66" customFormat="false" ht="15" hidden="false" customHeight="false" outlineLevel="0" collapsed="false">
      <c r="A66" s="1" t="s">
        <v>71</v>
      </c>
      <c r="B66" s="1" t="s">
        <v>65</v>
      </c>
      <c r="C66" s="1" t="n">
        <v>2</v>
      </c>
      <c r="D66" s="1" t="s">
        <v>63</v>
      </c>
    </row>
    <row r="67" customFormat="false" ht="15" hidden="false" customHeight="false" outlineLevel="0" collapsed="false">
      <c r="A67" s="1" t="s">
        <v>71</v>
      </c>
      <c r="B67" s="1" t="s">
        <v>47</v>
      </c>
      <c r="C67" s="1" t="n">
        <v>1</v>
      </c>
      <c r="D67" s="1" t="s">
        <v>63</v>
      </c>
    </row>
    <row r="68" customFormat="false" ht="15" hidden="false" customHeight="false" outlineLevel="0" collapsed="false">
      <c r="A68" s="1" t="s">
        <v>71</v>
      </c>
      <c r="B68" s="1" t="s">
        <v>66</v>
      </c>
      <c r="C68" s="1" t="n">
        <v>1</v>
      </c>
      <c r="D68" s="1" t="s">
        <v>63</v>
      </c>
    </row>
    <row r="69" customFormat="false" ht="15" hidden="false" customHeight="false" outlineLevel="0" collapsed="false">
      <c r="A69" s="1" t="s">
        <v>72</v>
      </c>
      <c r="B69" s="1" t="s">
        <v>68</v>
      </c>
      <c r="C69" s="1" t="n">
        <v>9</v>
      </c>
      <c r="D69" s="1" t="s">
        <v>63</v>
      </c>
    </row>
    <row r="70" customFormat="false" ht="15" hidden="false" customHeight="false" outlineLevel="0" collapsed="false">
      <c r="A70" s="1" t="s">
        <v>72</v>
      </c>
      <c r="B70" s="1" t="s">
        <v>69</v>
      </c>
      <c r="C70" s="1" t="n">
        <v>6</v>
      </c>
      <c r="D70" s="1" t="s">
        <v>63</v>
      </c>
    </row>
    <row r="71" customFormat="false" ht="15" hidden="false" customHeight="false" outlineLevel="0" collapsed="false">
      <c r="A71" s="1" t="s">
        <v>72</v>
      </c>
      <c r="B71" s="1" t="s">
        <v>59</v>
      </c>
      <c r="C71" s="1" t="n">
        <v>4</v>
      </c>
      <c r="D71" s="1" t="s">
        <v>63</v>
      </c>
    </row>
    <row r="72" customFormat="false" ht="15" hidden="false" customHeight="false" outlineLevel="0" collapsed="false">
      <c r="A72" s="1" t="s">
        <v>72</v>
      </c>
      <c r="B72" s="1" t="s">
        <v>46</v>
      </c>
      <c r="C72" s="1" t="n">
        <v>4</v>
      </c>
      <c r="D72" s="1" t="s">
        <v>63</v>
      </c>
    </row>
    <row r="73" customFormat="false" ht="15" hidden="false" customHeight="false" outlineLevel="0" collapsed="false">
      <c r="A73" s="1" t="s">
        <v>72</v>
      </c>
      <c r="B73" s="1" t="s">
        <v>44</v>
      </c>
      <c r="C73" s="1" t="n">
        <v>3</v>
      </c>
      <c r="D73" s="1" t="s">
        <v>63</v>
      </c>
    </row>
    <row r="74" customFormat="false" ht="15" hidden="false" customHeight="false" outlineLevel="0" collapsed="false">
      <c r="A74" s="1" t="s">
        <v>72</v>
      </c>
      <c r="B74" s="1" t="s">
        <v>42</v>
      </c>
      <c r="C74" s="1" t="n">
        <v>2</v>
      </c>
      <c r="D74" s="1" t="s">
        <v>63</v>
      </c>
    </row>
    <row r="75" customFormat="false" ht="15" hidden="false" customHeight="false" outlineLevel="0" collapsed="false">
      <c r="A75" s="1" t="s">
        <v>72</v>
      </c>
      <c r="B75" s="1" t="s">
        <v>65</v>
      </c>
      <c r="C75" s="1" t="n">
        <v>2</v>
      </c>
      <c r="D75" s="1" t="s">
        <v>63</v>
      </c>
    </row>
    <row r="76" customFormat="false" ht="15" hidden="false" customHeight="false" outlineLevel="0" collapsed="false">
      <c r="A76" s="1" t="s">
        <v>72</v>
      </c>
      <c r="B76" s="1" t="s">
        <v>47</v>
      </c>
      <c r="C76" s="1" t="n">
        <v>1</v>
      </c>
      <c r="D76" s="1" t="s">
        <v>63</v>
      </c>
    </row>
    <row r="77" customFormat="false" ht="15" hidden="false" customHeight="false" outlineLevel="0" collapsed="false">
      <c r="A77" s="1" t="s">
        <v>72</v>
      </c>
      <c r="B77" s="1" t="s">
        <v>66</v>
      </c>
      <c r="C77" s="1" t="n">
        <v>1</v>
      </c>
      <c r="D77" s="1" t="s">
        <v>63</v>
      </c>
    </row>
    <row r="78" customFormat="false" ht="15" hidden="false" customHeight="false" outlineLevel="0" collapsed="false">
      <c r="A78" s="1" t="s">
        <v>73</v>
      </c>
      <c r="B78" s="1" t="s">
        <v>74</v>
      </c>
      <c r="C78" s="1" t="n">
        <v>9</v>
      </c>
      <c r="D78" s="1" t="s">
        <v>63</v>
      </c>
    </row>
    <row r="79" customFormat="false" ht="15" hidden="false" customHeight="false" outlineLevel="0" collapsed="false">
      <c r="A79" s="1" t="s">
        <v>73</v>
      </c>
      <c r="B79" s="1" t="s">
        <v>75</v>
      </c>
      <c r="C79" s="1" t="n">
        <v>4</v>
      </c>
      <c r="D79" s="1" t="s">
        <v>63</v>
      </c>
    </row>
    <row r="80" customFormat="false" ht="15" hidden="false" customHeight="false" outlineLevel="0" collapsed="false">
      <c r="A80" s="1" t="s">
        <v>73</v>
      </c>
      <c r="B80" s="1" t="s">
        <v>59</v>
      </c>
      <c r="C80" s="1" t="n">
        <v>4</v>
      </c>
      <c r="D80" s="1" t="s">
        <v>63</v>
      </c>
    </row>
    <row r="81" customFormat="false" ht="15" hidden="false" customHeight="false" outlineLevel="0" collapsed="false">
      <c r="A81" s="1" t="s">
        <v>73</v>
      </c>
      <c r="B81" s="1" t="s">
        <v>46</v>
      </c>
      <c r="C81" s="1" t="n">
        <v>4</v>
      </c>
      <c r="D81" s="1" t="s">
        <v>63</v>
      </c>
    </row>
    <row r="82" customFormat="false" ht="15" hidden="false" customHeight="false" outlineLevel="0" collapsed="false">
      <c r="A82" s="1" t="s">
        <v>73</v>
      </c>
      <c r="B82" s="1" t="s">
        <v>44</v>
      </c>
      <c r="C82" s="1" t="n">
        <v>3</v>
      </c>
      <c r="D82" s="1" t="s">
        <v>63</v>
      </c>
    </row>
    <row r="83" customFormat="false" ht="15" hidden="false" customHeight="false" outlineLevel="0" collapsed="false">
      <c r="A83" s="1" t="s">
        <v>73</v>
      </c>
      <c r="B83" s="1" t="s">
        <v>42</v>
      </c>
      <c r="C83" s="1" t="n">
        <v>2</v>
      </c>
      <c r="D83" s="1" t="s">
        <v>63</v>
      </c>
    </row>
    <row r="84" customFormat="false" ht="15" hidden="false" customHeight="false" outlineLevel="0" collapsed="false">
      <c r="A84" s="1" t="s">
        <v>73</v>
      </c>
      <c r="B84" s="1" t="s">
        <v>65</v>
      </c>
      <c r="C84" s="1" t="n">
        <v>2</v>
      </c>
      <c r="D84" s="1" t="s">
        <v>63</v>
      </c>
    </row>
    <row r="85" customFormat="false" ht="15" hidden="false" customHeight="false" outlineLevel="0" collapsed="false">
      <c r="A85" s="1" t="s">
        <v>73</v>
      </c>
      <c r="B85" s="1" t="s">
        <v>47</v>
      </c>
      <c r="C85" s="1" t="n">
        <v>1</v>
      </c>
      <c r="D85" s="1" t="s">
        <v>63</v>
      </c>
    </row>
    <row r="86" customFormat="false" ht="15" hidden="false" customHeight="false" outlineLevel="0" collapsed="false">
      <c r="A86" s="1" t="s">
        <v>73</v>
      </c>
      <c r="B86" s="1" t="s">
        <v>66</v>
      </c>
      <c r="C86" s="1" t="n">
        <v>1</v>
      </c>
      <c r="D86" s="1" t="s">
        <v>63</v>
      </c>
    </row>
    <row r="87" customFormat="false" ht="15" hidden="false" customHeight="false" outlineLevel="0" collapsed="false">
      <c r="A87" s="1" t="s">
        <v>76</v>
      </c>
      <c r="B87" s="1" t="s">
        <v>77</v>
      </c>
      <c r="C87" s="1" t="n">
        <v>6</v>
      </c>
      <c r="D87" s="1" t="s">
        <v>63</v>
      </c>
    </row>
    <row r="88" customFormat="false" ht="15" hidden="false" customHeight="false" outlineLevel="0" collapsed="false">
      <c r="A88" s="1" t="s">
        <v>76</v>
      </c>
      <c r="B88" s="1" t="s">
        <v>78</v>
      </c>
      <c r="C88" s="1" t="n">
        <v>4</v>
      </c>
      <c r="D88" s="1" t="s">
        <v>63</v>
      </c>
    </row>
    <row r="89" customFormat="false" ht="15" hidden="false" customHeight="false" outlineLevel="0" collapsed="false">
      <c r="A89" s="1" t="s">
        <v>76</v>
      </c>
      <c r="B89" s="1" t="s">
        <v>79</v>
      </c>
      <c r="C89" s="1" t="n">
        <v>4</v>
      </c>
      <c r="D89" s="1" t="s">
        <v>63</v>
      </c>
    </row>
    <row r="90" customFormat="false" ht="15" hidden="false" customHeight="false" outlineLevel="0" collapsed="false">
      <c r="A90" s="1" t="s">
        <v>76</v>
      </c>
      <c r="B90" s="1" t="s">
        <v>80</v>
      </c>
      <c r="C90" s="1" t="n">
        <v>3</v>
      </c>
      <c r="D90" s="1" t="s">
        <v>63</v>
      </c>
    </row>
    <row r="91" customFormat="false" ht="15" hidden="false" customHeight="false" outlineLevel="0" collapsed="false">
      <c r="A91" s="1" t="s">
        <v>76</v>
      </c>
      <c r="B91" s="1" t="s">
        <v>44</v>
      </c>
      <c r="C91" s="1" t="n">
        <v>3</v>
      </c>
      <c r="D91" s="1" t="s">
        <v>63</v>
      </c>
    </row>
    <row r="92" customFormat="false" ht="15" hidden="false" customHeight="false" outlineLevel="0" collapsed="false">
      <c r="A92" s="1" t="s">
        <v>76</v>
      </c>
      <c r="B92" s="1" t="s">
        <v>42</v>
      </c>
      <c r="C92" s="1" t="n">
        <v>2</v>
      </c>
      <c r="D92" s="1" t="s">
        <v>63</v>
      </c>
    </row>
    <row r="93" customFormat="false" ht="15" hidden="false" customHeight="false" outlineLevel="0" collapsed="false">
      <c r="A93" s="1" t="s">
        <v>76</v>
      </c>
      <c r="B93" s="1" t="s">
        <v>65</v>
      </c>
      <c r="C93" s="1" t="n">
        <v>2</v>
      </c>
      <c r="D93" s="1" t="s">
        <v>63</v>
      </c>
    </row>
    <row r="94" customFormat="false" ht="15" hidden="false" customHeight="false" outlineLevel="0" collapsed="false">
      <c r="A94" s="1" t="s">
        <v>76</v>
      </c>
      <c r="B94" s="1" t="s">
        <v>81</v>
      </c>
      <c r="C94" s="1" t="n">
        <v>1</v>
      </c>
      <c r="D94" s="1" t="s">
        <v>63</v>
      </c>
    </row>
    <row r="95" customFormat="false" ht="15" hidden="false" customHeight="false" outlineLevel="0" collapsed="false">
      <c r="A95" s="1" t="s">
        <v>76</v>
      </c>
      <c r="B95" s="1" t="s">
        <v>66</v>
      </c>
      <c r="C95" s="1" t="n">
        <v>1</v>
      </c>
      <c r="D95" s="1" t="s">
        <v>63</v>
      </c>
    </row>
    <row r="96" customFormat="false" ht="15" hidden="false" customHeight="false" outlineLevel="0" collapsed="false">
      <c r="A96" s="1" t="s">
        <v>82</v>
      </c>
      <c r="B96" s="1" t="s">
        <v>83</v>
      </c>
      <c r="C96" s="1" t="n">
        <v>8</v>
      </c>
      <c r="D96" s="1" t="s">
        <v>63</v>
      </c>
    </row>
    <row r="97" customFormat="false" ht="15" hidden="false" customHeight="false" outlineLevel="0" collapsed="false">
      <c r="A97" s="1" t="s">
        <v>82</v>
      </c>
      <c r="B97" s="1" t="s">
        <v>84</v>
      </c>
      <c r="C97" s="1" t="n">
        <v>3</v>
      </c>
      <c r="D97" s="1" t="s">
        <v>63</v>
      </c>
    </row>
    <row r="98" customFormat="false" ht="15" hidden="false" customHeight="false" outlineLevel="0" collapsed="false">
      <c r="A98" s="1" t="s">
        <v>82</v>
      </c>
      <c r="B98" s="1" t="s">
        <v>85</v>
      </c>
      <c r="C98" s="1" t="n">
        <v>3</v>
      </c>
      <c r="D98" s="1" t="s">
        <v>63</v>
      </c>
    </row>
    <row r="99" customFormat="false" ht="15" hidden="false" customHeight="false" outlineLevel="0" collapsed="false">
      <c r="A99" s="1" t="s">
        <v>82</v>
      </c>
      <c r="B99" s="1" t="s">
        <v>86</v>
      </c>
      <c r="C99" s="1" t="n">
        <v>2</v>
      </c>
      <c r="D99" s="1" t="s">
        <v>63</v>
      </c>
    </row>
    <row r="100" customFormat="false" ht="15" hidden="false" customHeight="false" outlineLevel="0" collapsed="false">
      <c r="A100" s="1" t="s">
        <v>82</v>
      </c>
      <c r="B100" s="1" t="s">
        <v>87</v>
      </c>
      <c r="C100" s="1" t="n">
        <v>2</v>
      </c>
      <c r="D100" s="1" t="s">
        <v>63</v>
      </c>
    </row>
    <row r="101" customFormat="false" ht="15" hidden="false" customHeight="false" outlineLevel="0" collapsed="false">
      <c r="A101" s="1" t="s">
        <v>82</v>
      </c>
      <c r="B101" s="1" t="s">
        <v>65</v>
      </c>
      <c r="C101" s="1" t="n">
        <v>3</v>
      </c>
      <c r="D101" s="1" t="s">
        <v>63</v>
      </c>
    </row>
    <row r="102" customFormat="false" ht="15" hidden="false" customHeight="false" outlineLevel="0" collapsed="false">
      <c r="A102" s="1" t="s">
        <v>82</v>
      </c>
      <c r="B102" s="1" t="s">
        <v>88</v>
      </c>
      <c r="C102" s="1" t="n">
        <v>2</v>
      </c>
      <c r="D102" s="1" t="s">
        <v>63</v>
      </c>
    </row>
    <row r="103" customFormat="false" ht="15" hidden="false" customHeight="false" outlineLevel="0" collapsed="false">
      <c r="A103" s="1" t="s">
        <v>82</v>
      </c>
      <c r="B103" s="1" t="s">
        <v>89</v>
      </c>
      <c r="C103" s="1" t="n">
        <v>2</v>
      </c>
      <c r="D103" s="1" t="s">
        <v>63</v>
      </c>
    </row>
    <row r="104" customFormat="false" ht="15" hidden="false" customHeight="false" outlineLevel="0" collapsed="false">
      <c r="A104" s="1" t="s">
        <v>82</v>
      </c>
      <c r="B104" s="1" t="s">
        <v>66</v>
      </c>
      <c r="C104" s="1" t="n">
        <v>1</v>
      </c>
      <c r="D104" s="1" t="s">
        <v>63</v>
      </c>
    </row>
    <row r="105" customFormat="false" ht="15" hidden="false" customHeight="false" outlineLevel="0" collapsed="false">
      <c r="A105" s="1" t="s">
        <v>90</v>
      </c>
      <c r="B105" s="1" t="s">
        <v>91</v>
      </c>
      <c r="C105" s="1" t="n">
        <v>8</v>
      </c>
      <c r="D105" s="1" t="s">
        <v>63</v>
      </c>
      <c r="E105" s="1" t="s">
        <v>92</v>
      </c>
    </row>
    <row r="106" customFormat="false" ht="15" hidden="false" customHeight="false" outlineLevel="0" collapsed="false">
      <c r="A106" s="1" t="s">
        <v>90</v>
      </c>
      <c r="B106" s="1" t="s">
        <v>46</v>
      </c>
      <c r="C106" s="1" t="n">
        <v>2</v>
      </c>
      <c r="D106" s="1" t="s">
        <v>63</v>
      </c>
      <c r="E106" s="1" t="s">
        <v>93</v>
      </c>
    </row>
    <row r="107" customFormat="false" ht="15" hidden="false" customHeight="false" outlineLevel="0" collapsed="false">
      <c r="A107" s="1" t="s">
        <v>90</v>
      </c>
      <c r="B107" s="1" t="s">
        <v>59</v>
      </c>
      <c r="C107" s="1" t="n">
        <v>2</v>
      </c>
      <c r="D107" s="1" t="s">
        <v>63</v>
      </c>
      <c r="E107" s="1" t="s">
        <v>93</v>
      </c>
    </row>
    <row r="108" customFormat="false" ht="15" hidden="false" customHeight="false" outlineLevel="0" collapsed="false">
      <c r="A108" s="1" t="s">
        <v>90</v>
      </c>
      <c r="B108" s="1" t="s">
        <v>84</v>
      </c>
      <c r="C108" s="1" t="n">
        <v>2</v>
      </c>
      <c r="D108" s="1" t="s">
        <v>63</v>
      </c>
      <c r="E108" s="1" t="s">
        <v>94</v>
      </c>
    </row>
    <row r="109" customFormat="false" ht="15" hidden="false" customHeight="false" outlineLevel="0" collapsed="false">
      <c r="A109" s="1" t="s">
        <v>90</v>
      </c>
      <c r="B109" s="1" t="s">
        <v>65</v>
      </c>
      <c r="C109" s="1" t="n">
        <v>1</v>
      </c>
    </row>
    <row r="110" customFormat="false" ht="15" hidden="false" customHeight="false" outlineLevel="0" collapsed="false">
      <c r="A110" s="1" t="s">
        <v>95</v>
      </c>
      <c r="B110" s="1" t="s">
        <v>96</v>
      </c>
      <c r="C110" s="1" t="n">
        <v>9</v>
      </c>
      <c r="D110" s="1" t="s">
        <v>63</v>
      </c>
      <c r="E110" s="1" t="s">
        <v>97</v>
      </c>
    </row>
    <row r="111" customFormat="false" ht="15" hidden="false" customHeight="false" outlineLevel="0" collapsed="false">
      <c r="A111" s="1" t="s">
        <v>95</v>
      </c>
      <c r="B111" s="1" t="s">
        <v>46</v>
      </c>
      <c r="C111" s="1" t="n">
        <v>2</v>
      </c>
      <c r="D111" s="1" t="s">
        <v>63</v>
      </c>
      <c r="E111" s="1" t="s">
        <v>93</v>
      </c>
    </row>
    <row r="112" customFormat="false" ht="15" hidden="false" customHeight="false" outlineLevel="0" collapsed="false">
      <c r="A112" s="1" t="s">
        <v>95</v>
      </c>
      <c r="B112" s="1" t="s">
        <v>98</v>
      </c>
      <c r="C112" s="1" t="n">
        <v>2</v>
      </c>
      <c r="D112" s="1" t="s">
        <v>63</v>
      </c>
      <c r="E112" s="1" t="s">
        <v>93</v>
      </c>
    </row>
    <row r="113" customFormat="false" ht="15" hidden="false" customHeight="false" outlineLevel="0" collapsed="false">
      <c r="A113" s="1" t="s">
        <v>95</v>
      </c>
      <c r="B113" s="1" t="s">
        <v>84</v>
      </c>
      <c r="C113" s="1" t="n">
        <v>2</v>
      </c>
    </row>
    <row r="114" customFormat="false" ht="15" hidden="false" customHeight="false" outlineLevel="0" collapsed="false">
      <c r="A114" s="1" t="s">
        <v>95</v>
      </c>
      <c r="B114" s="1" t="s">
        <v>65</v>
      </c>
      <c r="C114" s="1" t="n">
        <v>1</v>
      </c>
    </row>
    <row r="115" customFormat="false" ht="15" hidden="false" customHeight="false" outlineLevel="0" collapsed="false">
      <c r="A115" s="1" t="s">
        <v>99</v>
      </c>
      <c r="B115" s="1" t="s">
        <v>100</v>
      </c>
      <c r="C115" s="1" t="n">
        <v>9</v>
      </c>
      <c r="D115" s="1" t="s">
        <v>63</v>
      </c>
      <c r="E115" s="1" t="s">
        <v>97</v>
      </c>
    </row>
    <row r="116" customFormat="false" ht="15" hidden="false" customHeight="false" outlineLevel="0" collapsed="false">
      <c r="A116" s="1" t="s">
        <v>99</v>
      </c>
      <c r="B116" s="1" t="s">
        <v>101</v>
      </c>
      <c r="C116" s="1" t="n">
        <v>5</v>
      </c>
      <c r="D116" s="1" t="s">
        <v>63</v>
      </c>
      <c r="E116" s="1" t="s">
        <v>102</v>
      </c>
    </row>
    <row r="117" customFormat="false" ht="15" hidden="false" customHeight="false" outlineLevel="0" collapsed="false">
      <c r="A117" s="1" t="s">
        <v>99</v>
      </c>
      <c r="B117" s="1" t="s">
        <v>46</v>
      </c>
      <c r="C117" s="1" t="n">
        <v>2</v>
      </c>
      <c r="D117" s="1" t="s">
        <v>63</v>
      </c>
      <c r="E117" s="1" t="s">
        <v>93</v>
      </c>
    </row>
    <row r="118" customFormat="false" ht="15" hidden="false" customHeight="false" outlineLevel="0" collapsed="false">
      <c r="A118" s="1" t="s">
        <v>99</v>
      </c>
      <c r="B118" s="1" t="s">
        <v>59</v>
      </c>
      <c r="C118" s="1" t="n">
        <v>2</v>
      </c>
      <c r="D118" s="1" t="s">
        <v>63</v>
      </c>
    </row>
    <row r="119" customFormat="false" ht="15" hidden="false" customHeight="false" outlineLevel="0" collapsed="false">
      <c r="A119" s="1" t="s">
        <v>99</v>
      </c>
      <c r="B119" s="1" t="s">
        <v>84</v>
      </c>
      <c r="C119" s="1" t="n">
        <v>2</v>
      </c>
    </row>
    <row r="120" customFormat="false" ht="15" hidden="false" customHeight="false" outlineLevel="0" collapsed="false">
      <c r="A120" s="1" t="s">
        <v>99</v>
      </c>
      <c r="B120" s="1" t="s">
        <v>65</v>
      </c>
      <c r="C120" s="1" t="n">
        <v>1</v>
      </c>
    </row>
    <row r="121" customFormat="false" ht="15" hidden="false" customHeight="false" outlineLevel="0" collapsed="false">
      <c r="A121" s="1" t="s">
        <v>103</v>
      </c>
      <c r="B121" s="1" t="s">
        <v>100</v>
      </c>
      <c r="C121" s="1" t="n">
        <v>9</v>
      </c>
      <c r="D121" s="1" t="s">
        <v>63</v>
      </c>
      <c r="E121" s="1" t="s">
        <v>97</v>
      </c>
    </row>
    <row r="122" customFormat="false" ht="15" hidden="false" customHeight="false" outlineLevel="0" collapsed="false">
      <c r="A122" s="1" t="s">
        <v>103</v>
      </c>
      <c r="B122" s="1" t="s">
        <v>101</v>
      </c>
      <c r="C122" s="1" t="n">
        <v>5</v>
      </c>
      <c r="D122" s="1" t="s">
        <v>63</v>
      </c>
      <c r="E122" s="1" t="s">
        <v>102</v>
      </c>
    </row>
    <row r="123" customFormat="false" ht="15" hidden="false" customHeight="false" outlineLevel="0" collapsed="false">
      <c r="A123" s="1" t="s">
        <v>103</v>
      </c>
      <c r="B123" s="1" t="s">
        <v>46</v>
      </c>
      <c r="C123" s="1" t="n">
        <v>2</v>
      </c>
      <c r="D123" s="1" t="s">
        <v>63</v>
      </c>
      <c r="E123" s="1" t="s">
        <v>93</v>
      </c>
    </row>
    <row r="124" customFormat="false" ht="15" hidden="false" customHeight="false" outlineLevel="0" collapsed="false">
      <c r="A124" s="1" t="s">
        <v>103</v>
      </c>
      <c r="B124" s="1" t="s">
        <v>59</v>
      </c>
      <c r="C124" s="1" t="n">
        <v>2</v>
      </c>
      <c r="D124" s="1" t="s">
        <v>63</v>
      </c>
      <c r="E124" s="1" t="s">
        <v>93</v>
      </c>
    </row>
    <row r="125" customFormat="false" ht="15" hidden="false" customHeight="false" outlineLevel="0" collapsed="false">
      <c r="A125" s="1" t="s">
        <v>103</v>
      </c>
      <c r="B125" s="1" t="s">
        <v>84</v>
      </c>
      <c r="C125" s="1" t="n">
        <v>2</v>
      </c>
    </row>
    <row r="126" customFormat="false" ht="15" hidden="false" customHeight="false" outlineLevel="0" collapsed="false">
      <c r="A126" s="1" t="s">
        <v>103</v>
      </c>
      <c r="B126" s="1" t="s">
        <v>65</v>
      </c>
      <c r="C126" s="1" t="n">
        <v>1</v>
      </c>
    </row>
    <row r="127" customFormat="false" ht="15" hidden="false" customHeight="false" outlineLevel="0" collapsed="false">
      <c r="A127" s="1" t="s">
        <v>104</v>
      </c>
      <c r="B127" s="1" t="s">
        <v>100</v>
      </c>
      <c r="C127" s="1" t="n">
        <v>9</v>
      </c>
      <c r="D127" s="1" t="s">
        <v>63</v>
      </c>
      <c r="E127" s="1" t="s">
        <v>97</v>
      </c>
    </row>
    <row r="128" customFormat="false" ht="15" hidden="false" customHeight="false" outlineLevel="0" collapsed="false">
      <c r="A128" s="1" t="s">
        <v>104</v>
      </c>
      <c r="B128" s="1" t="s">
        <v>101</v>
      </c>
      <c r="C128" s="1" t="n">
        <v>5</v>
      </c>
      <c r="D128" s="1" t="s">
        <v>63</v>
      </c>
      <c r="E128" s="1" t="s">
        <v>102</v>
      </c>
    </row>
    <row r="129" customFormat="false" ht="15" hidden="false" customHeight="false" outlineLevel="0" collapsed="false">
      <c r="A129" s="1" t="s">
        <v>104</v>
      </c>
      <c r="B129" s="1" t="s">
        <v>46</v>
      </c>
      <c r="C129" s="1" t="n">
        <v>2</v>
      </c>
      <c r="D129" s="1" t="s">
        <v>63</v>
      </c>
      <c r="E129" s="1" t="s">
        <v>93</v>
      </c>
    </row>
    <row r="130" customFormat="false" ht="15" hidden="false" customHeight="false" outlineLevel="0" collapsed="false">
      <c r="A130" s="1" t="s">
        <v>104</v>
      </c>
      <c r="B130" s="1" t="s">
        <v>59</v>
      </c>
      <c r="C130" s="1" t="n">
        <v>2</v>
      </c>
      <c r="D130" s="1" t="s">
        <v>63</v>
      </c>
      <c r="E130" s="1" t="s">
        <v>93</v>
      </c>
    </row>
    <row r="131" customFormat="false" ht="15" hidden="false" customHeight="false" outlineLevel="0" collapsed="false">
      <c r="A131" s="1" t="s">
        <v>104</v>
      </c>
      <c r="B131" s="1" t="s">
        <v>84</v>
      </c>
      <c r="C131" s="1" t="n">
        <v>2</v>
      </c>
    </row>
    <row r="132" customFormat="false" ht="15" hidden="false" customHeight="false" outlineLevel="0" collapsed="false">
      <c r="A132" s="1" t="s">
        <v>104</v>
      </c>
      <c r="B132" s="1" t="s">
        <v>65</v>
      </c>
      <c r="C132" s="1" t="n">
        <v>1</v>
      </c>
    </row>
    <row r="133" customFormat="false" ht="15" hidden="false" customHeight="false" outlineLevel="0" collapsed="false">
      <c r="A133" s="1" t="s">
        <v>105</v>
      </c>
      <c r="B133" s="1" t="s">
        <v>106</v>
      </c>
      <c r="C133" s="1" t="n">
        <v>8</v>
      </c>
      <c r="D133" s="1" t="s">
        <v>63</v>
      </c>
      <c r="E133" s="1" t="s">
        <v>107</v>
      </c>
    </row>
    <row r="134" customFormat="false" ht="15" hidden="false" customHeight="false" outlineLevel="0" collapsed="false">
      <c r="A134" s="1" t="s">
        <v>105</v>
      </c>
      <c r="B134" s="1" t="s">
        <v>108</v>
      </c>
      <c r="C134" s="1" t="n">
        <v>5</v>
      </c>
      <c r="D134" s="1" t="s">
        <v>63</v>
      </c>
      <c r="E134" s="1" t="s">
        <v>102</v>
      </c>
    </row>
    <row r="135" customFormat="false" ht="15" hidden="false" customHeight="false" outlineLevel="0" collapsed="false">
      <c r="A135" s="1" t="s">
        <v>105</v>
      </c>
      <c r="B135" s="1" t="s">
        <v>46</v>
      </c>
      <c r="C135" s="1" t="n">
        <v>2</v>
      </c>
      <c r="D135" s="1" t="s">
        <v>63</v>
      </c>
      <c r="E135" s="1" t="s">
        <v>93</v>
      </c>
    </row>
    <row r="136" customFormat="false" ht="15" hidden="false" customHeight="false" outlineLevel="0" collapsed="false">
      <c r="A136" s="1" t="s">
        <v>105</v>
      </c>
      <c r="B136" s="1" t="s">
        <v>109</v>
      </c>
      <c r="C136" s="1" t="n">
        <v>2</v>
      </c>
    </row>
    <row r="137" customFormat="false" ht="15" hidden="false" customHeight="false" outlineLevel="0" collapsed="false">
      <c r="A137" s="1" t="s">
        <v>105</v>
      </c>
      <c r="B137" s="1" t="s">
        <v>110</v>
      </c>
      <c r="C137" s="1" t="n">
        <v>1</v>
      </c>
    </row>
    <row r="138" customFormat="false" ht="15" hidden="false" customHeight="false" outlineLevel="0" collapsed="false">
      <c r="A138" s="1" t="s">
        <v>105</v>
      </c>
      <c r="B138" s="1" t="s">
        <v>111</v>
      </c>
      <c r="C138" s="1" t="n">
        <v>2</v>
      </c>
    </row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2:E115">
    <cfRule type="expression" priority="2" aboveAverage="0" equalAverage="0" bottom="0" percent="0" rank="0" text="" dxfId="3">
      <formula>E2="À compléter"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D86" activeCellId="1" sqref="E2:E16 D86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0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68.11"/>
    <col collapsed="false" customWidth="true" hidden="false" outlineLevel="0" max="16384" min="16382" style="10" width="11.53"/>
  </cols>
  <sheetData>
    <row r="1" customFormat="false" ht="15" hidden="false" customHeight="true" outlineLevel="0" collapsed="false">
      <c r="A1" s="11" t="s">
        <v>112</v>
      </c>
      <c r="B1" s="11" t="s">
        <v>113</v>
      </c>
      <c r="C1" s="11" t="s">
        <v>114</v>
      </c>
      <c r="D1" s="11" t="s">
        <v>37</v>
      </c>
      <c r="E1" s="11" t="s">
        <v>115</v>
      </c>
      <c r="F1" s="11" t="s">
        <v>116</v>
      </c>
      <c r="G1" s="11" t="s">
        <v>117</v>
      </c>
      <c r="H1" s="9"/>
      <c r="I1" s="1"/>
    </row>
    <row r="2" customFormat="false" ht="15" hidden="false" customHeight="true" outlineLevel="0" collapsed="false">
      <c r="A2" s="12" t="s">
        <v>118</v>
      </c>
      <c r="B2" s="12" t="s">
        <v>119</v>
      </c>
      <c r="C2" s="12" t="s">
        <v>120</v>
      </c>
      <c r="D2" s="12" t="s">
        <v>44</v>
      </c>
      <c r="E2" s="12" t="n">
        <v>2</v>
      </c>
      <c r="F2" s="12" t="s">
        <v>121</v>
      </c>
      <c r="G2" s="12" t="s">
        <v>122</v>
      </c>
      <c r="H2" s="3"/>
      <c r="I2" s="1"/>
    </row>
    <row r="3" customFormat="false" ht="15" hidden="false" customHeight="true" outlineLevel="0" collapsed="false">
      <c r="A3" s="12" t="s">
        <v>118</v>
      </c>
      <c r="B3" s="12" t="s">
        <v>119</v>
      </c>
      <c r="C3" s="12" t="s">
        <v>120</v>
      </c>
      <c r="D3" s="12" t="s">
        <v>65</v>
      </c>
      <c r="E3" s="12" t="n">
        <v>2</v>
      </c>
      <c r="F3" s="12" t="s">
        <v>121</v>
      </c>
      <c r="G3" s="12" t="s">
        <v>122</v>
      </c>
      <c r="H3" s="3"/>
      <c r="I3" s="1"/>
    </row>
    <row r="4" customFormat="false" ht="15" hidden="false" customHeight="true" outlineLevel="0" collapsed="false">
      <c r="A4" s="12" t="s">
        <v>118</v>
      </c>
      <c r="B4" s="12" t="s">
        <v>119</v>
      </c>
      <c r="C4" s="12" t="s">
        <v>120</v>
      </c>
      <c r="D4" s="12" t="s">
        <v>46</v>
      </c>
      <c r="E4" s="12" t="n">
        <v>3</v>
      </c>
      <c r="F4" s="12" t="s">
        <v>121</v>
      </c>
      <c r="G4" s="12" t="s">
        <v>122</v>
      </c>
      <c r="H4" s="3"/>
      <c r="I4" s="1"/>
    </row>
    <row r="5" customFormat="false" ht="15" hidden="true" customHeight="true" outlineLevel="0" collapsed="false">
      <c r="A5" s="12" t="s">
        <v>123</v>
      </c>
      <c r="B5" s="12" t="s">
        <v>124</v>
      </c>
      <c r="C5" s="12" t="s">
        <v>41</v>
      </c>
      <c r="D5" s="12" t="s">
        <v>44</v>
      </c>
      <c r="E5" s="12" t="n">
        <v>3</v>
      </c>
      <c r="F5" s="12" t="s">
        <v>121</v>
      </c>
      <c r="G5" s="12"/>
      <c r="H5" s="3"/>
      <c r="I5" s="1"/>
    </row>
    <row r="6" customFormat="false" ht="15" hidden="true" customHeight="true" outlineLevel="0" collapsed="false">
      <c r="A6" s="12" t="s">
        <v>123</v>
      </c>
      <c r="B6" s="12" t="s">
        <v>124</v>
      </c>
      <c r="C6" s="12" t="s">
        <v>41</v>
      </c>
      <c r="D6" s="12" t="s">
        <v>65</v>
      </c>
      <c r="E6" s="12" t="n">
        <v>3</v>
      </c>
      <c r="F6" s="12" t="s">
        <v>121</v>
      </c>
      <c r="G6" s="12"/>
      <c r="H6" s="3"/>
      <c r="I6" s="1"/>
    </row>
    <row r="7" customFormat="false" ht="15" hidden="true" customHeight="true" outlineLevel="0" collapsed="false">
      <c r="A7" s="12" t="s">
        <v>123</v>
      </c>
      <c r="B7" s="12" t="s">
        <v>124</v>
      </c>
      <c r="C7" s="12" t="s">
        <v>41</v>
      </c>
      <c r="D7" s="12" t="s">
        <v>46</v>
      </c>
      <c r="E7" s="12" t="n">
        <v>5</v>
      </c>
      <c r="F7" s="12" t="s">
        <v>121</v>
      </c>
      <c r="G7" s="12"/>
      <c r="H7" s="3"/>
      <c r="I7" s="1"/>
    </row>
    <row r="8" customFormat="false" ht="15" hidden="false" customHeight="true" outlineLevel="0" collapsed="false">
      <c r="A8" s="12" t="s">
        <v>118</v>
      </c>
      <c r="B8" s="12" t="s">
        <v>119</v>
      </c>
      <c r="C8" s="12" t="s">
        <v>54</v>
      </c>
      <c r="D8" s="12" t="s">
        <v>44</v>
      </c>
      <c r="E8" s="12" t="n">
        <v>2</v>
      </c>
      <c r="F8" s="12" t="s">
        <v>125</v>
      </c>
      <c r="G8" s="12" t="s">
        <v>122</v>
      </c>
      <c r="H8" s="3"/>
      <c r="I8" s="1"/>
    </row>
    <row r="9" customFormat="false" ht="15" hidden="false" customHeight="true" outlineLevel="0" collapsed="false">
      <c r="A9" s="12" t="s">
        <v>118</v>
      </c>
      <c r="B9" s="12" t="s">
        <v>119</v>
      </c>
      <c r="C9" s="12" t="s">
        <v>54</v>
      </c>
      <c r="D9" s="12" t="s">
        <v>65</v>
      </c>
      <c r="E9" s="12" t="n">
        <v>2</v>
      </c>
      <c r="F9" s="12" t="s">
        <v>125</v>
      </c>
      <c r="G9" s="12" t="s">
        <v>122</v>
      </c>
      <c r="H9" s="3"/>
      <c r="I9" s="1"/>
    </row>
    <row r="10" customFormat="false" ht="15" hidden="false" customHeight="true" outlineLevel="0" collapsed="false">
      <c r="A10" s="12" t="s">
        <v>118</v>
      </c>
      <c r="B10" s="12" t="s">
        <v>119</v>
      </c>
      <c r="C10" s="12" t="s">
        <v>54</v>
      </c>
      <c r="D10" s="12" t="s">
        <v>46</v>
      </c>
      <c r="E10" s="12" t="n">
        <v>3</v>
      </c>
      <c r="F10" s="12" t="s">
        <v>125</v>
      </c>
      <c r="G10" s="12" t="s">
        <v>122</v>
      </c>
      <c r="H10" s="3"/>
      <c r="I10" s="1"/>
    </row>
    <row r="11" customFormat="false" ht="15" hidden="false" customHeight="true" outlineLevel="0" collapsed="false">
      <c r="A11" s="12" t="s">
        <v>118</v>
      </c>
      <c r="B11" s="12" t="s">
        <v>119</v>
      </c>
      <c r="C11" s="12" t="s">
        <v>54</v>
      </c>
      <c r="D11" s="12" t="s">
        <v>55</v>
      </c>
      <c r="E11" s="12" t="n">
        <v>3</v>
      </c>
      <c r="F11" s="12" t="s">
        <v>125</v>
      </c>
      <c r="G11" s="12" t="s">
        <v>122</v>
      </c>
      <c r="H11" s="3"/>
      <c r="I11" s="1"/>
    </row>
    <row r="12" customFormat="false" ht="15" hidden="true" customHeight="true" outlineLevel="0" collapsed="false">
      <c r="A12" s="12" t="s">
        <v>123</v>
      </c>
      <c r="B12" s="12" t="s">
        <v>124</v>
      </c>
      <c r="C12" s="12" t="s">
        <v>54</v>
      </c>
      <c r="D12" s="12" t="s">
        <v>44</v>
      </c>
      <c r="E12" s="12" t="n">
        <v>3</v>
      </c>
      <c r="F12" s="12" t="s">
        <v>125</v>
      </c>
      <c r="G12" s="12"/>
      <c r="H12" s="3"/>
      <c r="I12" s="1"/>
    </row>
    <row r="13" customFormat="false" ht="15" hidden="true" customHeight="true" outlineLevel="0" collapsed="false">
      <c r="A13" s="12" t="s">
        <v>123</v>
      </c>
      <c r="B13" s="12" t="s">
        <v>124</v>
      </c>
      <c r="C13" s="12" t="s">
        <v>54</v>
      </c>
      <c r="D13" s="12" t="s">
        <v>65</v>
      </c>
      <c r="E13" s="12" t="n">
        <v>3</v>
      </c>
      <c r="F13" s="12" t="s">
        <v>125</v>
      </c>
      <c r="G13" s="12"/>
      <c r="H13" s="3"/>
      <c r="I13" s="1"/>
    </row>
    <row r="14" customFormat="false" ht="15" hidden="true" customHeight="true" outlineLevel="0" collapsed="false">
      <c r="A14" s="12" t="s">
        <v>123</v>
      </c>
      <c r="B14" s="12" t="s">
        <v>124</v>
      </c>
      <c r="C14" s="12" t="s">
        <v>54</v>
      </c>
      <c r="D14" s="12" t="s">
        <v>46</v>
      </c>
      <c r="E14" s="12" t="n">
        <v>5</v>
      </c>
      <c r="F14" s="12" t="s">
        <v>125</v>
      </c>
      <c r="G14" s="12"/>
      <c r="H14" s="3"/>
      <c r="I14" s="1"/>
    </row>
    <row r="15" customFormat="false" ht="15" hidden="true" customHeight="true" outlineLevel="0" collapsed="false">
      <c r="A15" s="12" t="s">
        <v>123</v>
      </c>
      <c r="B15" s="12" t="s">
        <v>124</v>
      </c>
      <c r="C15" s="12" t="s">
        <v>54</v>
      </c>
      <c r="D15" s="12" t="s">
        <v>55</v>
      </c>
      <c r="E15" s="12" t="n">
        <v>5</v>
      </c>
      <c r="F15" s="12" t="s">
        <v>125</v>
      </c>
      <c r="G15" s="12"/>
      <c r="H15" s="3"/>
      <c r="I15" s="1"/>
    </row>
    <row r="16" customFormat="false" ht="15" hidden="false" customHeight="true" outlineLevel="0" collapsed="false">
      <c r="A16" s="12" t="s">
        <v>118</v>
      </c>
      <c r="B16" s="12" t="s">
        <v>119</v>
      </c>
      <c r="C16" s="12" t="s">
        <v>126</v>
      </c>
      <c r="D16" s="12" t="s">
        <v>44</v>
      </c>
      <c r="E16" s="12" t="n">
        <v>2</v>
      </c>
      <c r="F16" s="12" t="s">
        <v>127</v>
      </c>
      <c r="G16" s="12" t="s">
        <v>122</v>
      </c>
      <c r="H16" s="3"/>
      <c r="I16" s="1"/>
    </row>
    <row r="17" customFormat="false" ht="15" hidden="false" customHeight="true" outlineLevel="0" collapsed="false">
      <c r="A17" s="12" t="s">
        <v>118</v>
      </c>
      <c r="B17" s="12" t="s">
        <v>119</v>
      </c>
      <c r="C17" s="12" t="s">
        <v>126</v>
      </c>
      <c r="D17" s="12" t="s">
        <v>65</v>
      </c>
      <c r="E17" s="12" t="n">
        <v>2</v>
      </c>
      <c r="F17" s="12" t="s">
        <v>127</v>
      </c>
      <c r="G17" s="12" t="s">
        <v>122</v>
      </c>
      <c r="H17" s="3"/>
      <c r="I17" s="1"/>
    </row>
    <row r="18" customFormat="false" ht="15" hidden="false" customHeight="true" outlineLevel="0" collapsed="false">
      <c r="A18" s="12" t="s">
        <v>118</v>
      </c>
      <c r="B18" s="12" t="s">
        <v>119</v>
      </c>
      <c r="C18" s="12" t="s">
        <v>126</v>
      </c>
      <c r="D18" s="12" t="s">
        <v>46</v>
      </c>
      <c r="E18" s="12" t="n">
        <v>3</v>
      </c>
      <c r="F18" s="12" t="s">
        <v>127</v>
      </c>
      <c r="G18" s="12" t="s">
        <v>122</v>
      </c>
      <c r="H18" s="3"/>
      <c r="I18" s="1"/>
    </row>
    <row r="19" customFormat="false" ht="15" hidden="false" customHeight="true" outlineLevel="0" collapsed="false">
      <c r="A19" s="12" t="s">
        <v>118</v>
      </c>
      <c r="B19" s="12" t="s">
        <v>128</v>
      </c>
      <c r="C19" s="12" t="s">
        <v>126</v>
      </c>
      <c r="D19" s="12" t="s">
        <v>44</v>
      </c>
      <c r="E19" s="12" t="n">
        <v>1</v>
      </c>
      <c r="F19" s="12" t="s">
        <v>127</v>
      </c>
      <c r="G19" s="12" t="s">
        <v>129</v>
      </c>
      <c r="H19" s="3"/>
      <c r="I19" s="1"/>
    </row>
    <row r="20" customFormat="false" ht="15" hidden="false" customHeight="true" outlineLevel="0" collapsed="false">
      <c r="A20" s="12" t="s">
        <v>118</v>
      </c>
      <c r="B20" s="12" t="s">
        <v>128</v>
      </c>
      <c r="C20" s="12" t="s">
        <v>126</v>
      </c>
      <c r="D20" s="12" t="s">
        <v>65</v>
      </c>
      <c r="E20" s="12" t="n">
        <v>1</v>
      </c>
      <c r="F20" s="12" t="s">
        <v>127</v>
      </c>
      <c r="G20" s="12" t="s">
        <v>129</v>
      </c>
      <c r="H20" s="3"/>
      <c r="I20" s="1"/>
    </row>
    <row r="21" customFormat="false" ht="15" hidden="false" customHeight="true" outlineLevel="0" collapsed="false">
      <c r="A21" s="12" t="s">
        <v>118</v>
      </c>
      <c r="B21" s="12" t="s">
        <v>128</v>
      </c>
      <c r="C21" s="12" t="s">
        <v>126</v>
      </c>
      <c r="D21" s="12" t="s">
        <v>46</v>
      </c>
      <c r="E21" s="12" t="n">
        <v>2</v>
      </c>
      <c r="F21" s="12" t="s">
        <v>127</v>
      </c>
      <c r="G21" s="12" t="s">
        <v>129</v>
      </c>
      <c r="H21" s="3"/>
      <c r="I21" s="1"/>
    </row>
    <row r="22" customFormat="false" ht="15" hidden="false" customHeight="true" outlineLevel="0" collapsed="false">
      <c r="A22" s="12" t="s">
        <v>118</v>
      </c>
      <c r="B22" s="12" t="s">
        <v>128</v>
      </c>
      <c r="C22" s="12" t="s">
        <v>126</v>
      </c>
      <c r="D22" s="12" t="s">
        <v>130</v>
      </c>
      <c r="E22" s="12" t="n">
        <v>2</v>
      </c>
      <c r="F22" s="12" t="s">
        <v>127</v>
      </c>
      <c r="G22" s="12" t="s">
        <v>129</v>
      </c>
      <c r="H22" s="3"/>
      <c r="I22" s="1"/>
    </row>
    <row r="23" customFormat="false" ht="15" hidden="false" customHeight="true" outlineLevel="0" collapsed="false">
      <c r="A23" s="12" t="s">
        <v>118</v>
      </c>
      <c r="B23" s="12" t="s">
        <v>128</v>
      </c>
      <c r="C23" s="12" t="s">
        <v>126</v>
      </c>
      <c r="D23" s="12" t="s">
        <v>60</v>
      </c>
      <c r="E23" s="12" t="n">
        <v>2</v>
      </c>
      <c r="F23" s="12" t="s">
        <v>127</v>
      </c>
      <c r="G23" s="12" t="s">
        <v>129</v>
      </c>
      <c r="H23" s="3"/>
      <c r="I23" s="1"/>
    </row>
    <row r="24" customFormat="false" ht="15" hidden="false" customHeight="true" outlineLevel="0" collapsed="false">
      <c r="A24" s="12" t="s">
        <v>118</v>
      </c>
      <c r="B24" s="12" t="s">
        <v>128</v>
      </c>
      <c r="C24" s="12" t="s">
        <v>131</v>
      </c>
      <c r="D24" s="12" t="s">
        <v>44</v>
      </c>
      <c r="E24" s="12" t="n">
        <v>1</v>
      </c>
      <c r="F24" s="12" t="s">
        <v>127</v>
      </c>
      <c r="G24" s="12" t="s">
        <v>129</v>
      </c>
      <c r="H24" s="3"/>
      <c r="I24" s="1"/>
    </row>
    <row r="25" customFormat="false" ht="15" hidden="false" customHeight="true" outlineLevel="0" collapsed="false">
      <c r="A25" s="12" t="s">
        <v>118</v>
      </c>
      <c r="B25" s="12" t="s">
        <v>128</v>
      </c>
      <c r="C25" s="12" t="s">
        <v>131</v>
      </c>
      <c r="D25" s="12" t="s">
        <v>65</v>
      </c>
      <c r="E25" s="12" t="n">
        <v>1</v>
      </c>
      <c r="F25" s="12" t="s">
        <v>127</v>
      </c>
      <c r="G25" s="12" t="s">
        <v>129</v>
      </c>
      <c r="H25" s="3"/>
      <c r="I25" s="1"/>
    </row>
    <row r="26" customFormat="false" ht="15" hidden="false" customHeight="true" outlineLevel="0" collapsed="false">
      <c r="A26" s="12" t="s">
        <v>118</v>
      </c>
      <c r="B26" s="12" t="s">
        <v>128</v>
      </c>
      <c r="C26" s="12" t="s">
        <v>131</v>
      </c>
      <c r="D26" s="12" t="s">
        <v>46</v>
      </c>
      <c r="E26" s="12" t="n">
        <v>2</v>
      </c>
      <c r="F26" s="12" t="s">
        <v>127</v>
      </c>
      <c r="G26" s="12" t="s">
        <v>129</v>
      </c>
      <c r="H26" s="3"/>
      <c r="I26" s="1"/>
    </row>
    <row r="27" customFormat="false" ht="15" hidden="false" customHeight="true" outlineLevel="0" collapsed="false">
      <c r="A27" s="12" t="s">
        <v>118</v>
      </c>
      <c r="B27" s="12" t="s">
        <v>128</v>
      </c>
      <c r="C27" s="12" t="s">
        <v>131</v>
      </c>
      <c r="D27" s="12" t="s">
        <v>130</v>
      </c>
      <c r="E27" s="12" t="n">
        <v>2</v>
      </c>
      <c r="F27" s="12" t="s">
        <v>127</v>
      </c>
      <c r="G27" s="12" t="s">
        <v>129</v>
      </c>
      <c r="H27" s="3"/>
      <c r="I27" s="1"/>
    </row>
    <row r="28" customFormat="false" ht="15" hidden="false" customHeight="true" outlineLevel="0" collapsed="false">
      <c r="A28" s="12" t="s">
        <v>118</v>
      </c>
      <c r="B28" s="12" t="s">
        <v>128</v>
      </c>
      <c r="C28" s="12" t="s">
        <v>131</v>
      </c>
      <c r="D28" s="12" t="s">
        <v>132</v>
      </c>
      <c r="E28" s="12" t="n">
        <v>2</v>
      </c>
      <c r="F28" s="12" t="s">
        <v>127</v>
      </c>
      <c r="G28" s="12" t="s">
        <v>129</v>
      </c>
      <c r="H28" s="3"/>
      <c r="I28" s="1"/>
    </row>
    <row r="29" customFormat="false" ht="15" hidden="true" customHeight="true" outlineLevel="0" collapsed="false">
      <c r="A29" s="12" t="s">
        <v>123</v>
      </c>
      <c r="B29" s="12" t="s">
        <v>133</v>
      </c>
      <c r="C29" s="12" t="s">
        <v>126</v>
      </c>
      <c r="D29" s="12" t="s">
        <v>44</v>
      </c>
      <c r="E29" s="12" t="n">
        <v>1</v>
      </c>
      <c r="F29" s="12" t="s">
        <v>127</v>
      </c>
      <c r="G29" s="12"/>
      <c r="H29" s="3"/>
      <c r="I29" s="1"/>
    </row>
    <row r="30" customFormat="false" ht="15" hidden="true" customHeight="true" outlineLevel="0" collapsed="false">
      <c r="A30" s="12" t="s">
        <v>123</v>
      </c>
      <c r="B30" s="12" t="s">
        <v>133</v>
      </c>
      <c r="C30" s="12" t="s">
        <v>126</v>
      </c>
      <c r="D30" s="12" t="s">
        <v>65</v>
      </c>
      <c r="E30" s="12" t="n">
        <v>1</v>
      </c>
      <c r="F30" s="12" t="s">
        <v>127</v>
      </c>
      <c r="G30" s="12"/>
      <c r="H30" s="3"/>
      <c r="I30" s="1"/>
    </row>
    <row r="31" customFormat="false" ht="15" hidden="true" customHeight="true" outlineLevel="0" collapsed="false">
      <c r="A31" s="12" t="s">
        <v>123</v>
      </c>
      <c r="B31" s="12" t="s">
        <v>133</v>
      </c>
      <c r="C31" s="12" t="s">
        <v>126</v>
      </c>
      <c r="D31" s="12" t="s">
        <v>46</v>
      </c>
      <c r="E31" s="12" t="n">
        <v>3</v>
      </c>
      <c r="F31" s="12" t="s">
        <v>127</v>
      </c>
      <c r="G31" s="12"/>
      <c r="H31" s="3"/>
      <c r="I31" s="1"/>
    </row>
    <row r="32" customFormat="false" ht="15" hidden="true" customHeight="true" outlineLevel="0" collapsed="false">
      <c r="A32" s="12" t="s">
        <v>123</v>
      </c>
      <c r="B32" s="12" t="s">
        <v>133</v>
      </c>
      <c r="C32" s="12" t="s">
        <v>126</v>
      </c>
      <c r="D32" s="12" t="s">
        <v>130</v>
      </c>
      <c r="E32" s="12" t="n">
        <v>3</v>
      </c>
      <c r="F32" s="12" t="s">
        <v>127</v>
      </c>
      <c r="G32" s="12"/>
      <c r="H32" s="3"/>
      <c r="I32" s="1"/>
    </row>
    <row r="33" customFormat="false" ht="15" hidden="true" customHeight="true" outlineLevel="0" collapsed="false">
      <c r="A33" s="12" t="s">
        <v>123</v>
      </c>
      <c r="B33" s="12" t="s">
        <v>133</v>
      </c>
      <c r="C33" s="12" t="s">
        <v>126</v>
      </c>
      <c r="D33" s="12" t="s">
        <v>60</v>
      </c>
      <c r="E33" s="12" t="n">
        <v>3</v>
      </c>
      <c r="F33" s="12" t="s">
        <v>127</v>
      </c>
      <c r="G33" s="12"/>
      <c r="H33" s="3"/>
      <c r="I33" s="1"/>
    </row>
    <row r="34" customFormat="false" ht="15" hidden="true" customHeight="true" outlineLevel="0" collapsed="false">
      <c r="A34" s="12" t="s">
        <v>123</v>
      </c>
      <c r="B34" s="12" t="s">
        <v>124</v>
      </c>
      <c r="C34" s="12" t="s">
        <v>126</v>
      </c>
      <c r="D34" s="12" t="s">
        <v>44</v>
      </c>
      <c r="E34" s="12" t="n">
        <v>3</v>
      </c>
      <c r="F34" s="12" t="s">
        <v>127</v>
      </c>
      <c r="G34" s="12"/>
      <c r="H34" s="3"/>
      <c r="I34" s="1"/>
    </row>
    <row r="35" customFormat="false" ht="15" hidden="true" customHeight="true" outlineLevel="0" collapsed="false">
      <c r="A35" s="12" t="s">
        <v>123</v>
      </c>
      <c r="B35" s="12" t="s">
        <v>124</v>
      </c>
      <c r="C35" s="12" t="s">
        <v>126</v>
      </c>
      <c r="D35" s="12" t="s">
        <v>65</v>
      </c>
      <c r="E35" s="12" t="n">
        <v>3</v>
      </c>
      <c r="F35" s="12" t="s">
        <v>127</v>
      </c>
      <c r="G35" s="12"/>
      <c r="H35" s="3"/>
      <c r="I35" s="1"/>
    </row>
    <row r="36" customFormat="false" ht="15" hidden="true" customHeight="true" outlineLevel="0" collapsed="false">
      <c r="A36" s="12" t="s">
        <v>123</v>
      </c>
      <c r="B36" s="12" t="s">
        <v>124</v>
      </c>
      <c r="C36" s="12" t="s">
        <v>126</v>
      </c>
      <c r="D36" s="12" t="s">
        <v>46</v>
      </c>
      <c r="E36" s="12" t="n">
        <v>5</v>
      </c>
      <c r="F36" s="12" t="s">
        <v>127</v>
      </c>
      <c r="G36" s="12"/>
      <c r="H36" s="3"/>
      <c r="I36" s="1"/>
    </row>
    <row r="37" customFormat="false" ht="15" hidden="true" customHeight="true" outlineLevel="0" collapsed="false">
      <c r="A37" s="12" t="s">
        <v>123</v>
      </c>
      <c r="B37" s="12" t="s">
        <v>134</v>
      </c>
      <c r="C37" s="12" t="s">
        <v>58</v>
      </c>
      <c r="D37" s="12" t="s">
        <v>44</v>
      </c>
      <c r="E37" s="12" t="n">
        <v>1</v>
      </c>
      <c r="F37" s="12" t="s">
        <v>127</v>
      </c>
      <c r="G37" s="12"/>
      <c r="H37" s="3"/>
      <c r="I37" s="1"/>
    </row>
    <row r="38" customFormat="false" ht="15" hidden="true" customHeight="true" outlineLevel="0" collapsed="false">
      <c r="A38" s="12" t="s">
        <v>123</v>
      </c>
      <c r="B38" s="12" t="s">
        <v>134</v>
      </c>
      <c r="C38" s="12" t="s">
        <v>58</v>
      </c>
      <c r="D38" s="12" t="s">
        <v>65</v>
      </c>
      <c r="E38" s="12" t="n">
        <v>1</v>
      </c>
      <c r="F38" s="12" t="s">
        <v>127</v>
      </c>
      <c r="G38" s="12"/>
      <c r="H38" s="3"/>
      <c r="I38" s="1"/>
    </row>
    <row r="39" customFormat="false" ht="15" hidden="true" customHeight="true" outlineLevel="0" collapsed="false">
      <c r="A39" s="12" t="s">
        <v>123</v>
      </c>
      <c r="B39" s="12" t="s">
        <v>134</v>
      </c>
      <c r="C39" s="12" t="s">
        <v>58</v>
      </c>
      <c r="D39" s="12" t="s">
        <v>46</v>
      </c>
      <c r="E39" s="12" t="n">
        <v>4</v>
      </c>
      <c r="F39" s="12" t="s">
        <v>127</v>
      </c>
      <c r="G39" s="12"/>
      <c r="H39" s="3"/>
      <c r="I39" s="1"/>
    </row>
    <row r="40" customFormat="false" ht="15" hidden="true" customHeight="true" outlineLevel="0" collapsed="false">
      <c r="A40" s="12" t="s">
        <v>123</v>
      </c>
      <c r="B40" s="12" t="s">
        <v>134</v>
      </c>
      <c r="C40" s="12" t="s">
        <v>58</v>
      </c>
      <c r="D40" s="12" t="s">
        <v>130</v>
      </c>
      <c r="E40" s="12" t="n">
        <v>4</v>
      </c>
      <c r="F40" s="12" t="s">
        <v>127</v>
      </c>
      <c r="G40" s="12"/>
      <c r="H40" s="3"/>
      <c r="I40" s="1"/>
    </row>
    <row r="41" customFormat="false" ht="15" hidden="false" customHeight="true" outlineLevel="0" collapsed="false">
      <c r="A41" s="12" t="s">
        <v>118</v>
      </c>
      <c r="B41" s="12" t="s">
        <v>135</v>
      </c>
      <c r="C41" s="12" t="s">
        <v>136</v>
      </c>
      <c r="D41" s="12" t="s">
        <v>44</v>
      </c>
      <c r="E41" s="12" t="n">
        <v>2</v>
      </c>
      <c r="F41" s="12" t="s">
        <v>137</v>
      </c>
      <c r="G41" s="12" t="s">
        <v>122</v>
      </c>
      <c r="H41" s="3"/>
      <c r="I41" s="1"/>
    </row>
    <row r="42" customFormat="false" ht="15" hidden="false" customHeight="true" outlineLevel="0" collapsed="false">
      <c r="A42" s="12" t="s">
        <v>118</v>
      </c>
      <c r="B42" s="12" t="s">
        <v>135</v>
      </c>
      <c r="C42" s="12" t="s">
        <v>136</v>
      </c>
      <c r="D42" s="12" t="s">
        <v>65</v>
      </c>
      <c r="E42" s="12" t="n">
        <v>2</v>
      </c>
      <c r="F42" s="12" t="s">
        <v>137</v>
      </c>
      <c r="G42" s="12" t="s">
        <v>122</v>
      </c>
      <c r="H42" s="3"/>
      <c r="I42" s="1"/>
    </row>
    <row r="43" customFormat="false" ht="15" hidden="false" customHeight="true" outlineLevel="0" collapsed="false">
      <c r="A43" s="12" t="s">
        <v>118</v>
      </c>
      <c r="B43" s="12" t="s">
        <v>135</v>
      </c>
      <c r="C43" s="12" t="s">
        <v>136</v>
      </c>
      <c r="D43" s="12" t="s">
        <v>46</v>
      </c>
      <c r="E43" s="12" t="n">
        <v>3</v>
      </c>
      <c r="F43" s="12" t="s">
        <v>137</v>
      </c>
      <c r="G43" s="12" t="s">
        <v>122</v>
      </c>
      <c r="H43" s="3"/>
      <c r="I43" s="1"/>
    </row>
    <row r="44" customFormat="false" ht="15" hidden="false" customHeight="true" outlineLevel="0" collapsed="false">
      <c r="A44" s="12" t="s">
        <v>118</v>
      </c>
      <c r="B44" s="12" t="s">
        <v>135</v>
      </c>
      <c r="C44" s="12" t="s">
        <v>136</v>
      </c>
      <c r="D44" s="12" t="s">
        <v>132</v>
      </c>
      <c r="E44" s="12" t="n">
        <v>3</v>
      </c>
      <c r="F44" s="12" t="s">
        <v>137</v>
      </c>
      <c r="G44" s="12" t="s">
        <v>122</v>
      </c>
      <c r="H44" s="3"/>
      <c r="I44" s="1"/>
    </row>
    <row r="45" customFormat="false" ht="15" hidden="true" customHeight="true" outlineLevel="0" collapsed="false">
      <c r="A45" s="12" t="s">
        <v>123</v>
      </c>
      <c r="B45" s="12" t="s">
        <v>138</v>
      </c>
      <c r="C45" s="12" t="s">
        <v>62</v>
      </c>
      <c r="D45" s="12" t="s">
        <v>44</v>
      </c>
      <c r="E45" s="12" t="n">
        <v>1</v>
      </c>
      <c r="F45" s="12" t="s">
        <v>139</v>
      </c>
      <c r="G45" s="12"/>
      <c r="H45" s="3"/>
      <c r="I45" s="1"/>
    </row>
    <row r="46" customFormat="false" ht="15" hidden="true" customHeight="true" outlineLevel="0" collapsed="false">
      <c r="A46" s="12" t="s">
        <v>123</v>
      </c>
      <c r="B46" s="12" t="s">
        <v>138</v>
      </c>
      <c r="C46" s="12" t="s">
        <v>62</v>
      </c>
      <c r="D46" s="12" t="s">
        <v>65</v>
      </c>
      <c r="E46" s="12" t="n">
        <v>1</v>
      </c>
      <c r="F46" s="12" t="s">
        <v>139</v>
      </c>
      <c r="G46" s="12"/>
      <c r="H46" s="3"/>
      <c r="I46" s="1"/>
    </row>
    <row r="47" customFormat="false" ht="15" hidden="true" customHeight="true" outlineLevel="0" collapsed="false">
      <c r="A47" s="12" t="s">
        <v>123</v>
      </c>
      <c r="B47" s="12" t="s">
        <v>138</v>
      </c>
      <c r="C47" s="12" t="s">
        <v>62</v>
      </c>
      <c r="D47" s="12" t="s">
        <v>46</v>
      </c>
      <c r="E47" s="12" t="n">
        <v>4</v>
      </c>
      <c r="F47" s="12" t="s">
        <v>139</v>
      </c>
      <c r="G47" s="12"/>
      <c r="H47" s="3"/>
      <c r="I47" s="1"/>
    </row>
    <row r="48" customFormat="false" ht="15" hidden="true" customHeight="true" outlineLevel="0" collapsed="false">
      <c r="A48" s="12" t="s">
        <v>123</v>
      </c>
      <c r="B48" s="12" t="s">
        <v>138</v>
      </c>
      <c r="C48" s="12" t="s">
        <v>62</v>
      </c>
      <c r="D48" s="12" t="s">
        <v>130</v>
      </c>
      <c r="E48" s="12" t="n">
        <v>4</v>
      </c>
      <c r="F48" s="12" t="s">
        <v>139</v>
      </c>
      <c r="G48" s="12"/>
      <c r="H48" s="3"/>
      <c r="I48" s="1"/>
    </row>
    <row r="49" customFormat="false" ht="15" hidden="true" customHeight="true" outlineLevel="0" collapsed="false">
      <c r="A49" s="12" t="s">
        <v>123</v>
      </c>
      <c r="B49" s="12" t="s">
        <v>138</v>
      </c>
      <c r="C49" s="12" t="s">
        <v>62</v>
      </c>
      <c r="D49" s="12" t="s">
        <v>132</v>
      </c>
      <c r="E49" s="12" t="n">
        <v>2</v>
      </c>
      <c r="F49" s="12" t="s">
        <v>139</v>
      </c>
      <c r="G49" s="12"/>
      <c r="H49" s="3"/>
      <c r="I49" s="1"/>
    </row>
    <row r="50" customFormat="false" ht="15" hidden="true" customHeight="true" outlineLevel="0" collapsed="false">
      <c r="A50" s="12" t="s">
        <v>123</v>
      </c>
      <c r="B50" s="12" t="s">
        <v>134</v>
      </c>
      <c r="C50" s="12" t="s">
        <v>62</v>
      </c>
      <c r="D50" s="12" t="s">
        <v>44</v>
      </c>
      <c r="E50" s="12" t="n">
        <v>1</v>
      </c>
      <c r="F50" s="12" t="s">
        <v>139</v>
      </c>
      <c r="G50" s="12"/>
      <c r="H50" s="3"/>
      <c r="I50" s="1"/>
    </row>
    <row r="51" customFormat="false" ht="15" hidden="true" customHeight="true" outlineLevel="0" collapsed="false">
      <c r="A51" s="12" t="s">
        <v>123</v>
      </c>
      <c r="B51" s="12" t="s">
        <v>134</v>
      </c>
      <c r="C51" s="12" t="s">
        <v>62</v>
      </c>
      <c r="D51" s="12" t="s">
        <v>65</v>
      </c>
      <c r="E51" s="12" t="n">
        <v>1</v>
      </c>
      <c r="F51" s="12" t="s">
        <v>139</v>
      </c>
      <c r="G51" s="12"/>
      <c r="H51" s="3"/>
      <c r="I51" s="1"/>
    </row>
    <row r="52" customFormat="false" ht="15" hidden="true" customHeight="true" outlineLevel="0" collapsed="false">
      <c r="A52" s="12" t="s">
        <v>123</v>
      </c>
      <c r="B52" s="12" t="s">
        <v>134</v>
      </c>
      <c r="C52" s="12" t="s">
        <v>62</v>
      </c>
      <c r="D52" s="12" t="s">
        <v>46</v>
      </c>
      <c r="E52" s="12" t="n">
        <v>4</v>
      </c>
      <c r="F52" s="12" t="s">
        <v>139</v>
      </c>
      <c r="G52" s="12"/>
      <c r="H52" s="3"/>
      <c r="I52" s="1"/>
    </row>
    <row r="53" customFormat="false" ht="15" hidden="true" customHeight="true" outlineLevel="0" collapsed="false">
      <c r="A53" s="12" t="s">
        <v>123</v>
      </c>
      <c r="B53" s="12" t="s">
        <v>134</v>
      </c>
      <c r="C53" s="12" t="s">
        <v>62</v>
      </c>
      <c r="D53" s="12" t="s">
        <v>130</v>
      </c>
      <c r="E53" s="12" t="n">
        <v>4</v>
      </c>
      <c r="F53" s="12" t="s">
        <v>139</v>
      </c>
      <c r="G53" s="12"/>
      <c r="H53" s="3"/>
      <c r="I53" s="1"/>
    </row>
    <row r="54" customFormat="false" ht="15" hidden="true" customHeight="true" outlineLevel="0" collapsed="false">
      <c r="A54" s="12" t="s">
        <v>123</v>
      </c>
      <c r="B54" s="12" t="s">
        <v>134</v>
      </c>
      <c r="C54" s="12" t="s">
        <v>62</v>
      </c>
      <c r="D54" s="12" t="s">
        <v>132</v>
      </c>
      <c r="E54" s="12" t="n">
        <v>2</v>
      </c>
      <c r="F54" s="12" t="s">
        <v>139</v>
      </c>
      <c r="G54" s="12"/>
      <c r="H54" s="3"/>
      <c r="I54" s="1"/>
    </row>
    <row r="55" customFormat="false" ht="15" hidden="true" customHeight="true" outlineLevel="0" collapsed="false">
      <c r="A55" s="12" t="s">
        <v>123</v>
      </c>
      <c r="B55" s="12" t="s">
        <v>140</v>
      </c>
      <c r="C55" s="12" t="s">
        <v>62</v>
      </c>
      <c r="D55" s="12" t="s">
        <v>44</v>
      </c>
      <c r="E55" s="12" t="n">
        <v>1</v>
      </c>
      <c r="F55" s="12" t="s">
        <v>139</v>
      </c>
      <c r="G55" s="12"/>
      <c r="H55" s="3"/>
      <c r="I55" s="1"/>
    </row>
    <row r="56" customFormat="false" ht="15" hidden="true" customHeight="true" outlineLevel="0" collapsed="false">
      <c r="A56" s="12" t="s">
        <v>123</v>
      </c>
      <c r="B56" s="12" t="s">
        <v>140</v>
      </c>
      <c r="C56" s="12" t="s">
        <v>62</v>
      </c>
      <c r="D56" s="12" t="s">
        <v>65</v>
      </c>
      <c r="E56" s="12" t="n">
        <v>1</v>
      </c>
      <c r="F56" s="12" t="s">
        <v>139</v>
      </c>
      <c r="G56" s="12"/>
      <c r="H56" s="3"/>
      <c r="I56" s="1"/>
    </row>
    <row r="57" customFormat="false" ht="15" hidden="true" customHeight="true" outlineLevel="0" collapsed="false">
      <c r="A57" s="12" t="s">
        <v>123</v>
      </c>
      <c r="B57" s="12" t="s">
        <v>140</v>
      </c>
      <c r="C57" s="12" t="s">
        <v>62</v>
      </c>
      <c r="D57" s="12" t="s">
        <v>46</v>
      </c>
      <c r="E57" s="12" t="n">
        <v>4</v>
      </c>
      <c r="F57" s="12" t="s">
        <v>139</v>
      </c>
      <c r="G57" s="12"/>
      <c r="H57" s="3"/>
      <c r="I57" s="1"/>
    </row>
    <row r="58" customFormat="false" ht="15" hidden="true" customHeight="true" outlineLevel="0" collapsed="false">
      <c r="A58" s="12" t="s">
        <v>123</v>
      </c>
      <c r="B58" s="12" t="s">
        <v>140</v>
      </c>
      <c r="C58" s="12" t="s">
        <v>62</v>
      </c>
      <c r="D58" s="12" t="s">
        <v>130</v>
      </c>
      <c r="E58" s="12" t="n">
        <v>5</v>
      </c>
      <c r="F58" s="12" t="s">
        <v>139</v>
      </c>
      <c r="G58" s="12"/>
      <c r="H58" s="3"/>
      <c r="I58" s="1"/>
    </row>
    <row r="59" customFormat="false" ht="15" hidden="true" customHeight="true" outlineLevel="0" collapsed="false">
      <c r="A59" s="12" t="s">
        <v>123</v>
      </c>
      <c r="B59" s="12" t="s">
        <v>140</v>
      </c>
      <c r="C59" s="12" t="s">
        <v>62</v>
      </c>
      <c r="D59" s="12" t="s">
        <v>132</v>
      </c>
      <c r="E59" s="12" t="n">
        <v>2</v>
      </c>
      <c r="F59" s="12" t="s">
        <v>139</v>
      </c>
      <c r="G59" s="12"/>
      <c r="H59" s="3"/>
      <c r="I59" s="1"/>
    </row>
    <row r="60" customFormat="false" ht="15" hidden="true" customHeight="true" outlineLevel="0" collapsed="false">
      <c r="A60" s="12" t="s">
        <v>141</v>
      </c>
      <c r="B60" s="12" t="s">
        <v>142</v>
      </c>
      <c r="C60" s="12" t="s">
        <v>143</v>
      </c>
      <c r="D60" s="12" t="s">
        <v>65</v>
      </c>
      <c r="E60" s="12" t="n">
        <v>1</v>
      </c>
      <c r="F60" s="12" t="s">
        <v>144</v>
      </c>
      <c r="G60" s="12"/>
      <c r="H60" s="3"/>
      <c r="I60" s="1"/>
    </row>
    <row r="61" customFormat="false" ht="15" hidden="true" customHeight="true" outlineLevel="0" collapsed="false">
      <c r="A61" s="12" t="s">
        <v>141</v>
      </c>
      <c r="B61" s="12" t="s">
        <v>142</v>
      </c>
      <c r="C61" s="12" t="s">
        <v>143</v>
      </c>
      <c r="D61" s="12" t="s">
        <v>145</v>
      </c>
      <c r="E61" s="12" t="n">
        <v>1</v>
      </c>
      <c r="F61" s="12" t="s">
        <v>144</v>
      </c>
      <c r="G61" s="12"/>
      <c r="H61" s="3"/>
      <c r="I61" s="1"/>
    </row>
    <row r="62" customFormat="false" ht="15" hidden="true" customHeight="true" outlineLevel="0" collapsed="false">
      <c r="A62" s="12" t="s">
        <v>141</v>
      </c>
      <c r="B62" s="12" t="s">
        <v>142</v>
      </c>
      <c r="C62" s="12" t="s">
        <v>143</v>
      </c>
      <c r="D62" s="12" t="s">
        <v>146</v>
      </c>
      <c r="E62" s="12" t="n">
        <v>4</v>
      </c>
      <c r="F62" s="12" t="s">
        <v>144</v>
      </c>
      <c r="G62" s="12"/>
      <c r="H62" s="3"/>
      <c r="I62" s="1"/>
    </row>
    <row r="63" customFormat="false" ht="15" hidden="true" customHeight="true" outlineLevel="0" collapsed="false">
      <c r="A63" s="12" t="s">
        <v>141</v>
      </c>
      <c r="B63" s="12" t="s">
        <v>122</v>
      </c>
      <c r="C63" s="12" t="s">
        <v>147</v>
      </c>
      <c r="D63" s="12" t="s">
        <v>65</v>
      </c>
      <c r="E63" s="12" t="n">
        <v>2</v>
      </c>
      <c r="F63" s="12" t="s">
        <v>144</v>
      </c>
      <c r="G63" s="12"/>
      <c r="H63" s="3"/>
      <c r="I63" s="1"/>
    </row>
    <row r="64" customFormat="false" ht="15" hidden="true" customHeight="true" outlineLevel="0" collapsed="false">
      <c r="A64" s="12" t="s">
        <v>141</v>
      </c>
      <c r="B64" s="12" t="s">
        <v>122</v>
      </c>
      <c r="C64" s="12" t="s">
        <v>147</v>
      </c>
      <c r="D64" s="12" t="s">
        <v>145</v>
      </c>
      <c r="E64" s="12" t="n">
        <v>2</v>
      </c>
      <c r="F64" s="12" t="s">
        <v>144</v>
      </c>
      <c r="G64" s="12"/>
      <c r="H64" s="3"/>
      <c r="I64" s="1"/>
    </row>
    <row r="65" customFormat="false" ht="15" hidden="true" customHeight="true" outlineLevel="0" collapsed="false">
      <c r="A65" s="12" t="s">
        <v>141</v>
      </c>
      <c r="B65" s="12" t="s">
        <v>122</v>
      </c>
      <c r="C65" s="12" t="s">
        <v>147</v>
      </c>
      <c r="D65" s="12" t="s">
        <v>146</v>
      </c>
      <c r="E65" s="12" t="n">
        <v>3</v>
      </c>
      <c r="F65" s="12" t="s">
        <v>144</v>
      </c>
      <c r="G65" s="12"/>
      <c r="H65" s="3"/>
      <c r="I65" s="1"/>
    </row>
    <row r="66" customFormat="false" ht="15" hidden="true" customHeight="true" outlineLevel="0" collapsed="false">
      <c r="A66" s="12" t="s">
        <v>148</v>
      </c>
      <c r="B66" s="12" t="s">
        <v>134</v>
      </c>
      <c r="C66" s="12" t="s">
        <v>149</v>
      </c>
      <c r="D66" s="12" t="s">
        <v>65</v>
      </c>
      <c r="E66" s="12" t="n">
        <v>1</v>
      </c>
      <c r="F66" s="12" t="s">
        <v>150</v>
      </c>
      <c r="G66" s="12"/>
      <c r="H66" s="3"/>
      <c r="I66" s="1"/>
    </row>
    <row r="67" customFormat="false" ht="15" hidden="true" customHeight="true" outlineLevel="0" collapsed="false">
      <c r="A67" s="13" t="s">
        <v>148</v>
      </c>
      <c r="B67" s="13" t="s">
        <v>134</v>
      </c>
      <c r="C67" s="13" t="s">
        <v>149</v>
      </c>
      <c r="D67" s="13" t="s">
        <v>145</v>
      </c>
      <c r="E67" s="13" t="n">
        <v>1</v>
      </c>
      <c r="F67" s="13" t="s">
        <v>150</v>
      </c>
      <c r="G67" s="13"/>
      <c r="I67" s="1"/>
    </row>
    <row r="68" customFormat="false" ht="15" hidden="true" customHeight="true" outlineLevel="0" collapsed="false">
      <c r="A68" s="13" t="s">
        <v>148</v>
      </c>
      <c r="B68" s="13" t="s">
        <v>134</v>
      </c>
      <c r="C68" s="13" t="s">
        <v>149</v>
      </c>
      <c r="D68" s="13" t="s">
        <v>146</v>
      </c>
      <c r="E68" s="13" t="n">
        <v>4</v>
      </c>
      <c r="F68" s="13" t="s">
        <v>150</v>
      </c>
      <c r="G68" s="13"/>
      <c r="I68" s="1"/>
    </row>
    <row r="69" customFormat="false" ht="15" hidden="true" customHeight="true" outlineLevel="0" collapsed="false">
      <c r="A69" s="13" t="s">
        <v>148</v>
      </c>
      <c r="B69" s="13" t="s">
        <v>133</v>
      </c>
      <c r="C69" s="13" t="s">
        <v>126</v>
      </c>
      <c r="D69" s="13" t="s">
        <v>65</v>
      </c>
      <c r="E69" s="13" t="n">
        <v>1</v>
      </c>
      <c r="F69" s="13" t="s">
        <v>150</v>
      </c>
      <c r="G69" s="13"/>
      <c r="I69" s="1"/>
    </row>
    <row r="70" customFormat="false" ht="15" hidden="true" customHeight="true" outlineLevel="0" collapsed="false">
      <c r="A70" s="13" t="s">
        <v>148</v>
      </c>
      <c r="B70" s="13" t="s">
        <v>133</v>
      </c>
      <c r="C70" s="13" t="s">
        <v>126</v>
      </c>
      <c r="D70" s="13" t="s">
        <v>145</v>
      </c>
      <c r="E70" s="13" t="n">
        <v>1</v>
      </c>
      <c r="F70" s="13" t="s">
        <v>150</v>
      </c>
      <c r="G70" s="13"/>
      <c r="I70" s="1"/>
    </row>
    <row r="71" customFormat="false" ht="15" hidden="true" customHeight="true" outlineLevel="0" collapsed="false">
      <c r="A71" s="13" t="s">
        <v>148</v>
      </c>
      <c r="B71" s="13" t="s">
        <v>133</v>
      </c>
      <c r="C71" s="13" t="s">
        <v>126</v>
      </c>
      <c r="D71" s="13" t="s">
        <v>146</v>
      </c>
      <c r="E71" s="13" t="n">
        <v>3</v>
      </c>
      <c r="F71" s="13" t="s">
        <v>150</v>
      </c>
      <c r="G71" s="13"/>
      <c r="I71" s="1"/>
    </row>
    <row r="72" customFormat="false" ht="15" hidden="true" customHeight="true" outlineLevel="0" collapsed="false">
      <c r="A72" s="13" t="s">
        <v>148</v>
      </c>
      <c r="B72" s="13" t="s">
        <v>124</v>
      </c>
      <c r="C72" s="13" t="s">
        <v>151</v>
      </c>
      <c r="D72" s="13" t="s">
        <v>65</v>
      </c>
      <c r="E72" s="13" t="n">
        <v>3</v>
      </c>
      <c r="F72" s="13" t="s">
        <v>150</v>
      </c>
      <c r="G72" s="13"/>
      <c r="I72" s="1"/>
    </row>
    <row r="73" customFormat="false" ht="15" hidden="true" customHeight="true" outlineLevel="0" collapsed="false">
      <c r="A73" s="13" t="s">
        <v>148</v>
      </c>
      <c r="B73" s="13" t="s">
        <v>124</v>
      </c>
      <c r="C73" s="13" t="s">
        <v>151</v>
      </c>
      <c r="D73" s="13" t="s">
        <v>145</v>
      </c>
      <c r="E73" s="13" t="n">
        <v>3</v>
      </c>
      <c r="F73" s="13" t="s">
        <v>150</v>
      </c>
      <c r="G73" s="13"/>
      <c r="I73" s="1"/>
    </row>
    <row r="74" customFormat="false" ht="15" hidden="true" customHeight="true" outlineLevel="0" collapsed="false">
      <c r="A74" s="13" t="s">
        <v>148</v>
      </c>
      <c r="B74" s="13" t="s">
        <v>124</v>
      </c>
      <c r="C74" s="13" t="s">
        <v>151</v>
      </c>
      <c r="D74" s="13" t="s">
        <v>146</v>
      </c>
      <c r="E74" s="13" t="n">
        <v>5</v>
      </c>
      <c r="F74" s="13" t="s">
        <v>150</v>
      </c>
      <c r="G74" s="13"/>
      <c r="I74" s="1"/>
    </row>
    <row r="75" customFormat="false" ht="15" hidden="false" customHeight="true" outlineLevel="0" collapsed="false">
      <c r="A75" s="12" t="s">
        <v>118</v>
      </c>
      <c r="B75" s="12" t="s">
        <v>135</v>
      </c>
      <c r="C75" s="12" t="s">
        <v>54</v>
      </c>
      <c r="D75" s="12" t="s">
        <v>44</v>
      </c>
      <c r="E75" s="12" t="n">
        <v>2</v>
      </c>
      <c r="F75" s="12" t="s">
        <v>125</v>
      </c>
      <c r="G75" s="12" t="s">
        <v>122</v>
      </c>
      <c r="H75" s="3"/>
      <c r="I75" s="1"/>
    </row>
    <row r="76" customFormat="false" ht="15" hidden="false" customHeight="true" outlineLevel="0" collapsed="false">
      <c r="A76" s="12" t="s">
        <v>118</v>
      </c>
      <c r="B76" s="12" t="s">
        <v>135</v>
      </c>
      <c r="C76" s="12" t="s">
        <v>54</v>
      </c>
      <c r="D76" s="12" t="s">
        <v>65</v>
      </c>
      <c r="E76" s="12" t="n">
        <v>2</v>
      </c>
      <c r="F76" s="12" t="s">
        <v>125</v>
      </c>
      <c r="G76" s="12" t="s">
        <v>122</v>
      </c>
      <c r="H76" s="3"/>
      <c r="I76" s="1"/>
    </row>
    <row r="77" customFormat="false" ht="15" hidden="false" customHeight="true" outlineLevel="0" collapsed="false">
      <c r="A77" s="12" t="s">
        <v>118</v>
      </c>
      <c r="B77" s="12" t="s">
        <v>135</v>
      </c>
      <c r="C77" s="12" t="s">
        <v>54</v>
      </c>
      <c r="D77" s="12" t="s">
        <v>46</v>
      </c>
      <c r="E77" s="12" t="n">
        <v>3</v>
      </c>
      <c r="F77" s="12" t="s">
        <v>125</v>
      </c>
      <c r="G77" s="12" t="s">
        <v>122</v>
      </c>
      <c r="H77" s="3"/>
      <c r="I77" s="1"/>
    </row>
    <row r="78" customFormat="false" ht="15" hidden="false" customHeight="true" outlineLevel="0" collapsed="false">
      <c r="A78" s="12" t="s">
        <v>118</v>
      </c>
      <c r="B78" s="12" t="s">
        <v>135</v>
      </c>
      <c r="C78" s="12" t="s">
        <v>54</v>
      </c>
      <c r="D78" s="12" t="s">
        <v>55</v>
      </c>
      <c r="E78" s="12" t="n">
        <v>3</v>
      </c>
      <c r="F78" s="12" t="s">
        <v>125</v>
      </c>
      <c r="G78" s="12" t="s">
        <v>122</v>
      </c>
      <c r="H78" s="3"/>
      <c r="I78" s="1"/>
    </row>
    <row r="79" customFormat="false" ht="15" hidden="false" customHeight="true" outlineLevel="0" collapsed="false">
      <c r="A79" s="12" t="s">
        <v>118</v>
      </c>
      <c r="B79" s="12" t="s">
        <v>135</v>
      </c>
      <c r="C79" s="12" t="s">
        <v>126</v>
      </c>
      <c r="D79" s="12" t="s">
        <v>44</v>
      </c>
      <c r="E79" s="12" t="n">
        <v>2</v>
      </c>
      <c r="F79" s="12" t="s">
        <v>127</v>
      </c>
      <c r="G79" s="12" t="s">
        <v>122</v>
      </c>
      <c r="H79" s="3"/>
      <c r="I79" s="1"/>
    </row>
    <row r="80" customFormat="false" ht="15" hidden="false" customHeight="true" outlineLevel="0" collapsed="false">
      <c r="A80" s="12" t="s">
        <v>118</v>
      </c>
      <c r="B80" s="12" t="s">
        <v>135</v>
      </c>
      <c r="C80" s="12" t="s">
        <v>126</v>
      </c>
      <c r="D80" s="12" t="s">
        <v>65</v>
      </c>
      <c r="E80" s="12" t="n">
        <v>2</v>
      </c>
      <c r="F80" s="12" t="s">
        <v>127</v>
      </c>
      <c r="G80" s="12" t="s">
        <v>122</v>
      </c>
      <c r="H80" s="3"/>
      <c r="I80" s="1"/>
    </row>
    <row r="81" customFormat="false" ht="15" hidden="false" customHeight="true" outlineLevel="0" collapsed="false">
      <c r="A81" s="12" t="s">
        <v>118</v>
      </c>
      <c r="B81" s="12" t="s">
        <v>135</v>
      </c>
      <c r="C81" s="12" t="s">
        <v>126</v>
      </c>
      <c r="D81" s="12" t="s">
        <v>46</v>
      </c>
      <c r="E81" s="12" t="n">
        <v>3</v>
      </c>
      <c r="F81" s="12" t="s">
        <v>127</v>
      </c>
      <c r="G81" s="12" t="s">
        <v>122</v>
      </c>
      <c r="H81" s="3"/>
      <c r="I81" s="1"/>
    </row>
    <row r="82" customFormat="false" ht="15" hidden="false" customHeight="true" outlineLevel="0" collapsed="false">
      <c r="A82" s="13" t="s">
        <v>118</v>
      </c>
      <c r="B82" s="13" t="s">
        <v>152</v>
      </c>
      <c r="C82" s="13" t="s">
        <v>126</v>
      </c>
      <c r="D82" s="13" t="s">
        <v>44</v>
      </c>
      <c r="E82" s="13" t="n">
        <v>1</v>
      </c>
      <c r="F82" s="13" t="s">
        <v>127</v>
      </c>
      <c r="G82" s="13" t="s">
        <v>153</v>
      </c>
      <c r="I82" s="1"/>
    </row>
    <row r="83" customFormat="false" ht="15" hidden="false" customHeight="true" outlineLevel="0" collapsed="false">
      <c r="A83" s="13" t="s">
        <v>118</v>
      </c>
      <c r="B83" s="13" t="s">
        <v>152</v>
      </c>
      <c r="C83" s="13" t="s">
        <v>126</v>
      </c>
      <c r="D83" s="13" t="s">
        <v>65</v>
      </c>
      <c r="E83" s="13" t="n">
        <v>1</v>
      </c>
      <c r="F83" s="13" t="s">
        <v>127</v>
      </c>
      <c r="G83" s="13" t="s">
        <v>153</v>
      </c>
      <c r="I83" s="1"/>
    </row>
    <row r="84" customFormat="false" ht="15" hidden="false" customHeight="true" outlineLevel="0" collapsed="false">
      <c r="A84" s="13" t="s">
        <v>118</v>
      </c>
      <c r="B84" s="13" t="s">
        <v>152</v>
      </c>
      <c r="C84" s="13" t="s">
        <v>126</v>
      </c>
      <c r="D84" s="13" t="s">
        <v>46</v>
      </c>
      <c r="E84" s="13" t="n">
        <v>2</v>
      </c>
      <c r="F84" s="13" t="s">
        <v>127</v>
      </c>
      <c r="G84" s="13" t="s">
        <v>153</v>
      </c>
      <c r="I84" s="1"/>
    </row>
    <row r="85" customFormat="false" ht="15" hidden="false" customHeight="true" outlineLevel="0" collapsed="false">
      <c r="A85" s="13" t="s">
        <v>118</v>
      </c>
      <c r="B85" s="13" t="s">
        <v>152</v>
      </c>
      <c r="C85" s="13" t="s">
        <v>126</v>
      </c>
      <c r="D85" s="13" t="s">
        <v>130</v>
      </c>
      <c r="E85" s="13" t="n">
        <v>2</v>
      </c>
      <c r="F85" s="13" t="s">
        <v>127</v>
      </c>
      <c r="G85" s="13" t="s">
        <v>153</v>
      </c>
      <c r="I85" s="1"/>
    </row>
    <row r="86" customFormat="false" ht="15" hidden="false" customHeight="true" outlineLevel="0" collapsed="false">
      <c r="A86" s="13" t="s">
        <v>118</v>
      </c>
      <c r="B86" s="13" t="s">
        <v>152</v>
      </c>
      <c r="C86" s="13" t="s">
        <v>154</v>
      </c>
      <c r="D86" s="13" t="s">
        <v>44</v>
      </c>
      <c r="E86" s="13" t="n">
        <v>1</v>
      </c>
      <c r="F86" s="13" t="s">
        <v>139</v>
      </c>
      <c r="G86" s="13" t="s">
        <v>153</v>
      </c>
      <c r="I86" s="1"/>
    </row>
    <row r="87" customFormat="false" ht="15" hidden="false" customHeight="true" outlineLevel="0" collapsed="false">
      <c r="A87" s="13" t="s">
        <v>118</v>
      </c>
      <c r="B87" s="13" t="s">
        <v>152</v>
      </c>
      <c r="C87" s="13" t="s">
        <v>154</v>
      </c>
      <c r="D87" s="13" t="s">
        <v>65</v>
      </c>
      <c r="E87" s="13" t="n">
        <v>1</v>
      </c>
      <c r="F87" s="13" t="s">
        <v>139</v>
      </c>
      <c r="G87" s="13" t="s">
        <v>153</v>
      </c>
      <c r="I87" s="1"/>
    </row>
    <row r="88" customFormat="false" ht="15" hidden="false" customHeight="true" outlineLevel="0" collapsed="false">
      <c r="A88" s="13" t="s">
        <v>118</v>
      </c>
      <c r="B88" s="13" t="s">
        <v>152</v>
      </c>
      <c r="C88" s="13" t="s">
        <v>154</v>
      </c>
      <c r="D88" s="13" t="s">
        <v>46</v>
      </c>
      <c r="E88" s="13" t="n">
        <v>2</v>
      </c>
      <c r="F88" s="13" t="s">
        <v>139</v>
      </c>
      <c r="G88" s="13" t="s">
        <v>153</v>
      </c>
      <c r="I88" s="1"/>
    </row>
    <row r="89" customFormat="false" ht="15" hidden="false" customHeight="true" outlineLevel="0" collapsed="false">
      <c r="A89" s="13" t="s">
        <v>118</v>
      </c>
      <c r="B89" s="13" t="s">
        <v>152</v>
      </c>
      <c r="C89" s="13" t="s">
        <v>154</v>
      </c>
      <c r="D89" s="13" t="s">
        <v>130</v>
      </c>
      <c r="E89" s="13" t="n">
        <v>2</v>
      </c>
      <c r="F89" s="13" t="s">
        <v>139</v>
      </c>
      <c r="G89" s="13" t="s">
        <v>153</v>
      </c>
      <c r="I89" s="1"/>
    </row>
    <row r="90" customFormat="false" ht="15" hidden="false" customHeight="true" outlineLevel="0" collapsed="false">
      <c r="A90" s="13" t="s">
        <v>118</v>
      </c>
      <c r="B90" s="13" t="s">
        <v>152</v>
      </c>
      <c r="C90" s="13" t="s">
        <v>154</v>
      </c>
      <c r="D90" s="13" t="s">
        <v>132</v>
      </c>
      <c r="E90" s="13" t="n">
        <v>3</v>
      </c>
      <c r="F90" s="13" t="s">
        <v>139</v>
      </c>
      <c r="G90" s="13" t="s">
        <v>153</v>
      </c>
      <c r="I90" s="1"/>
    </row>
    <row r="91" customFormat="false" ht="15" hidden="false" customHeight="true" outlineLevel="0" collapsed="false">
      <c r="A91" s="13" t="s">
        <v>118</v>
      </c>
      <c r="B91" s="13" t="s">
        <v>155</v>
      </c>
      <c r="C91" s="13" t="s">
        <v>126</v>
      </c>
      <c r="D91" s="13" t="s">
        <v>44</v>
      </c>
      <c r="E91" s="13" t="n">
        <v>1</v>
      </c>
      <c r="F91" s="13" t="s">
        <v>127</v>
      </c>
      <c r="G91" s="13" t="s">
        <v>153</v>
      </c>
      <c r="I91" s="1"/>
    </row>
    <row r="92" customFormat="false" ht="15" hidden="false" customHeight="true" outlineLevel="0" collapsed="false">
      <c r="A92" s="13" t="s">
        <v>118</v>
      </c>
      <c r="B92" s="13" t="s">
        <v>155</v>
      </c>
      <c r="C92" s="13" t="s">
        <v>126</v>
      </c>
      <c r="D92" s="13" t="s">
        <v>65</v>
      </c>
      <c r="E92" s="13" t="n">
        <v>1</v>
      </c>
      <c r="F92" s="13" t="s">
        <v>127</v>
      </c>
      <c r="G92" s="13" t="s">
        <v>153</v>
      </c>
      <c r="I92" s="1"/>
    </row>
    <row r="93" customFormat="false" ht="15" hidden="false" customHeight="true" outlineLevel="0" collapsed="false">
      <c r="A93" s="13" t="s">
        <v>118</v>
      </c>
      <c r="B93" s="13" t="s">
        <v>155</v>
      </c>
      <c r="C93" s="13" t="s">
        <v>126</v>
      </c>
      <c r="D93" s="13" t="s">
        <v>46</v>
      </c>
      <c r="E93" s="13" t="n">
        <v>2</v>
      </c>
      <c r="F93" s="13" t="s">
        <v>127</v>
      </c>
      <c r="G93" s="13" t="s">
        <v>153</v>
      </c>
      <c r="I93" s="1"/>
    </row>
    <row r="94" customFormat="false" ht="15" hidden="false" customHeight="true" outlineLevel="0" collapsed="false">
      <c r="A94" s="13" t="s">
        <v>118</v>
      </c>
      <c r="B94" s="13" t="s">
        <v>155</v>
      </c>
      <c r="C94" s="13" t="s">
        <v>126</v>
      </c>
      <c r="D94" s="13" t="s">
        <v>130</v>
      </c>
      <c r="E94" s="13" t="n">
        <v>2</v>
      </c>
      <c r="F94" s="13" t="s">
        <v>127</v>
      </c>
      <c r="G94" s="13" t="s">
        <v>153</v>
      </c>
      <c r="I94" s="1"/>
    </row>
    <row r="95" customFormat="false" ht="15" hidden="false" customHeight="true" outlineLevel="0" collapsed="false">
      <c r="A95" s="13" t="s">
        <v>118</v>
      </c>
      <c r="B95" s="13" t="s">
        <v>155</v>
      </c>
      <c r="C95" s="13" t="s">
        <v>156</v>
      </c>
      <c r="D95" s="13" t="s">
        <v>44</v>
      </c>
      <c r="E95" s="13" t="n">
        <v>1</v>
      </c>
      <c r="F95" s="13" t="s">
        <v>139</v>
      </c>
      <c r="G95" s="13" t="s">
        <v>153</v>
      </c>
      <c r="I95" s="1"/>
    </row>
    <row r="96" customFormat="false" ht="15" hidden="false" customHeight="true" outlineLevel="0" collapsed="false">
      <c r="A96" s="13" t="s">
        <v>118</v>
      </c>
      <c r="B96" s="13" t="s">
        <v>155</v>
      </c>
      <c r="C96" s="13" t="s">
        <v>156</v>
      </c>
      <c r="D96" s="13" t="s">
        <v>65</v>
      </c>
      <c r="E96" s="13" t="n">
        <v>1</v>
      </c>
      <c r="F96" s="13" t="s">
        <v>139</v>
      </c>
      <c r="G96" s="13" t="s">
        <v>153</v>
      </c>
      <c r="I96" s="1"/>
    </row>
    <row r="97" customFormat="false" ht="15" hidden="false" customHeight="true" outlineLevel="0" collapsed="false">
      <c r="A97" s="13" t="s">
        <v>118</v>
      </c>
      <c r="B97" s="13" t="s">
        <v>155</v>
      </c>
      <c r="C97" s="13" t="s">
        <v>156</v>
      </c>
      <c r="D97" s="13" t="s">
        <v>46</v>
      </c>
      <c r="E97" s="13" t="n">
        <v>2</v>
      </c>
      <c r="F97" s="13" t="s">
        <v>139</v>
      </c>
      <c r="G97" s="13" t="s">
        <v>153</v>
      </c>
      <c r="I97" s="1"/>
    </row>
    <row r="98" customFormat="false" ht="15" hidden="false" customHeight="true" outlineLevel="0" collapsed="false">
      <c r="A98" s="13" t="s">
        <v>118</v>
      </c>
      <c r="B98" s="13" t="s">
        <v>155</v>
      </c>
      <c r="C98" s="13" t="s">
        <v>156</v>
      </c>
      <c r="D98" s="13" t="s">
        <v>130</v>
      </c>
      <c r="E98" s="13" t="n">
        <v>2</v>
      </c>
      <c r="F98" s="13" t="s">
        <v>139</v>
      </c>
      <c r="G98" s="13" t="s">
        <v>153</v>
      </c>
      <c r="I98" s="1"/>
    </row>
    <row r="99" customFormat="false" ht="15" hidden="false" customHeight="true" outlineLevel="0" collapsed="false">
      <c r="A99" s="13" t="s">
        <v>118</v>
      </c>
      <c r="B99" s="13" t="s">
        <v>155</v>
      </c>
      <c r="C99" s="13" t="s">
        <v>156</v>
      </c>
      <c r="D99" s="13" t="s">
        <v>132</v>
      </c>
      <c r="E99" s="13" t="n">
        <v>3</v>
      </c>
      <c r="F99" s="13" t="s">
        <v>139</v>
      </c>
      <c r="G99" s="13" t="s">
        <v>153</v>
      </c>
      <c r="I99" s="1"/>
    </row>
    <row r="100" customFormat="false" ht="15" hidden="false" customHeight="true" outlineLevel="0" collapsed="false">
      <c r="A100" s="13" t="s">
        <v>118</v>
      </c>
      <c r="B100" s="13" t="s">
        <v>157</v>
      </c>
      <c r="C100" s="13" t="s">
        <v>126</v>
      </c>
      <c r="D100" s="13" t="s">
        <v>44</v>
      </c>
      <c r="E100" s="13" t="n">
        <v>1</v>
      </c>
      <c r="F100" s="13" t="s">
        <v>127</v>
      </c>
      <c r="G100" s="13" t="s">
        <v>158</v>
      </c>
      <c r="I100" s="1"/>
    </row>
    <row r="101" customFormat="false" ht="15" hidden="false" customHeight="true" outlineLevel="0" collapsed="false">
      <c r="A101" s="13" t="s">
        <v>118</v>
      </c>
      <c r="B101" s="13" t="s">
        <v>157</v>
      </c>
      <c r="C101" s="13" t="s">
        <v>126</v>
      </c>
      <c r="D101" s="13" t="s">
        <v>65</v>
      </c>
      <c r="E101" s="13" t="n">
        <v>1</v>
      </c>
      <c r="F101" s="13" t="s">
        <v>127</v>
      </c>
      <c r="G101" s="13" t="s">
        <v>158</v>
      </c>
      <c r="I101" s="1"/>
    </row>
    <row r="102" customFormat="false" ht="15" hidden="false" customHeight="true" outlineLevel="0" collapsed="false">
      <c r="A102" s="13" t="s">
        <v>118</v>
      </c>
      <c r="B102" s="13" t="s">
        <v>157</v>
      </c>
      <c r="C102" s="13" t="s">
        <v>126</v>
      </c>
      <c r="D102" s="13" t="s">
        <v>46</v>
      </c>
      <c r="E102" s="13" t="n">
        <v>2</v>
      </c>
      <c r="F102" s="13" t="s">
        <v>127</v>
      </c>
      <c r="G102" s="13" t="s">
        <v>158</v>
      </c>
      <c r="I102" s="1"/>
    </row>
    <row r="103" customFormat="false" ht="15" hidden="false" customHeight="true" outlineLevel="0" collapsed="false">
      <c r="A103" s="13" t="s">
        <v>118</v>
      </c>
      <c r="B103" s="13" t="s">
        <v>157</v>
      </c>
      <c r="C103" s="13" t="s">
        <v>126</v>
      </c>
      <c r="D103" s="13" t="s">
        <v>130</v>
      </c>
      <c r="E103" s="13" t="n">
        <v>2</v>
      </c>
      <c r="F103" s="13" t="s">
        <v>127</v>
      </c>
      <c r="G103" s="13" t="s">
        <v>158</v>
      </c>
      <c r="I103" s="1"/>
    </row>
    <row r="104" customFormat="false" ht="15" hidden="false" customHeight="true" outlineLevel="0" collapsed="false">
      <c r="A104" s="13" t="s">
        <v>118</v>
      </c>
      <c r="B104" s="13" t="s">
        <v>157</v>
      </c>
      <c r="C104" s="13" t="s">
        <v>159</v>
      </c>
      <c r="D104" s="13" t="s">
        <v>44</v>
      </c>
      <c r="E104" s="13" t="n">
        <v>1</v>
      </c>
      <c r="F104" s="13" t="s">
        <v>139</v>
      </c>
      <c r="G104" s="13" t="s">
        <v>158</v>
      </c>
      <c r="I104" s="1"/>
    </row>
    <row r="105" customFormat="false" ht="15" hidden="false" customHeight="true" outlineLevel="0" collapsed="false">
      <c r="A105" s="13" t="s">
        <v>118</v>
      </c>
      <c r="B105" s="13" t="s">
        <v>157</v>
      </c>
      <c r="C105" s="13" t="s">
        <v>159</v>
      </c>
      <c r="D105" s="13" t="s">
        <v>65</v>
      </c>
      <c r="E105" s="13" t="n">
        <v>1</v>
      </c>
      <c r="F105" s="13" t="s">
        <v>139</v>
      </c>
      <c r="G105" s="13" t="s">
        <v>158</v>
      </c>
      <c r="I105" s="1"/>
    </row>
    <row r="106" customFormat="false" ht="15" hidden="false" customHeight="true" outlineLevel="0" collapsed="false">
      <c r="A106" s="13" t="s">
        <v>118</v>
      </c>
      <c r="B106" s="13" t="s">
        <v>157</v>
      </c>
      <c r="C106" s="13" t="s">
        <v>159</v>
      </c>
      <c r="D106" s="13" t="s">
        <v>46</v>
      </c>
      <c r="E106" s="13" t="n">
        <v>2</v>
      </c>
      <c r="F106" s="13" t="s">
        <v>139</v>
      </c>
      <c r="G106" s="13" t="s">
        <v>158</v>
      </c>
      <c r="I106" s="1"/>
    </row>
    <row r="107" customFormat="false" ht="15" hidden="false" customHeight="true" outlineLevel="0" collapsed="false">
      <c r="A107" s="13" t="s">
        <v>118</v>
      </c>
      <c r="B107" s="13" t="s">
        <v>157</v>
      </c>
      <c r="C107" s="13" t="s">
        <v>159</v>
      </c>
      <c r="D107" s="13" t="s">
        <v>130</v>
      </c>
      <c r="E107" s="13" t="n">
        <v>2</v>
      </c>
      <c r="F107" s="13" t="s">
        <v>139</v>
      </c>
      <c r="G107" s="13" t="s">
        <v>158</v>
      </c>
      <c r="I107" s="1"/>
    </row>
    <row r="108" customFormat="false" ht="15" hidden="false" customHeight="true" outlineLevel="0" collapsed="false">
      <c r="A108" s="13" t="s">
        <v>118</v>
      </c>
      <c r="B108" s="13" t="s">
        <v>157</v>
      </c>
      <c r="C108" s="13" t="s">
        <v>159</v>
      </c>
      <c r="D108" s="13" t="s">
        <v>132</v>
      </c>
      <c r="E108" s="13" t="n">
        <v>3</v>
      </c>
      <c r="F108" s="13" t="s">
        <v>139</v>
      </c>
      <c r="G108" s="13" t="s">
        <v>158</v>
      </c>
      <c r="I108" s="1"/>
    </row>
    <row r="109" customFormat="false" ht="15" hidden="false" customHeight="true" outlineLevel="0" collapsed="false">
      <c r="A109" s="13" t="s">
        <v>118</v>
      </c>
      <c r="B109" s="13" t="s">
        <v>160</v>
      </c>
      <c r="C109" s="13" t="s">
        <v>126</v>
      </c>
      <c r="D109" s="13" t="s">
        <v>44</v>
      </c>
      <c r="E109" s="13" t="n">
        <v>1</v>
      </c>
      <c r="F109" s="13" t="s">
        <v>127</v>
      </c>
      <c r="G109" s="13" t="s">
        <v>161</v>
      </c>
      <c r="I109" s="1"/>
    </row>
    <row r="110" customFormat="false" ht="15" hidden="false" customHeight="true" outlineLevel="0" collapsed="false">
      <c r="A110" s="13" t="s">
        <v>118</v>
      </c>
      <c r="B110" s="13" t="s">
        <v>160</v>
      </c>
      <c r="C110" s="13" t="s">
        <v>126</v>
      </c>
      <c r="D110" s="13" t="s">
        <v>65</v>
      </c>
      <c r="E110" s="13" t="n">
        <v>1</v>
      </c>
      <c r="F110" s="13" t="s">
        <v>127</v>
      </c>
      <c r="G110" s="13" t="s">
        <v>161</v>
      </c>
      <c r="I110" s="1"/>
    </row>
    <row r="111" customFormat="false" ht="15" hidden="false" customHeight="true" outlineLevel="0" collapsed="false">
      <c r="A111" s="13" t="s">
        <v>118</v>
      </c>
      <c r="B111" s="13" t="s">
        <v>160</v>
      </c>
      <c r="C111" s="13" t="s">
        <v>126</v>
      </c>
      <c r="D111" s="13" t="s">
        <v>46</v>
      </c>
      <c r="E111" s="13" t="n">
        <v>2</v>
      </c>
      <c r="F111" s="13" t="s">
        <v>127</v>
      </c>
      <c r="G111" s="13" t="s">
        <v>161</v>
      </c>
      <c r="I111" s="1"/>
    </row>
    <row r="112" customFormat="false" ht="15" hidden="false" customHeight="true" outlineLevel="0" collapsed="false">
      <c r="A112" s="13" t="s">
        <v>118</v>
      </c>
      <c r="B112" s="13" t="s">
        <v>160</v>
      </c>
      <c r="C112" s="13" t="s">
        <v>126</v>
      </c>
      <c r="D112" s="13" t="s">
        <v>130</v>
      </c>
      <c r="E112" s="13" t="n">
        <v>2</v>
      </c>
      <c r="F112" s="13" t="s">
        <v>127</v>
      </c>
      <c r="G112" s="13" t="s">
        <v>161</v>
      </c>
      <c r="I112" s="1"/>
    </row>
    <row r="113" customFormat="false" ht="15" hidden="false" customHeight="true" outlineLevel="0" collapsed="false">
      <c r="A113" s="13" t="s">
        <v>118</v>
      </c>
      <c r="B113" s="13" t="s">
        <v>160</v>
      </c>
      <c r="C113" s="13" t="s">
        <v>162</v>
      </c>
      <c r="D113" s="13" t="s">
        <v>44</v>
      </c>
      <c r="E113" s="13" t="n">
        <v>1</v>
      </c>
      <c r="F113" s="13" t="s">
        <v>139</v>
      </c>
      <c r="G113" s="13" t="s">
        <v>161</v>
      </c>
      <c r="I113" s="1"/>
    </row>
    <row r="114" customFormat="false" ht="15" hidden="false" customHeight="true" outlineLevel="0" collapsed="false">
      <c r="A114" s="13" t="s">
        <v>118</v>
      </c>
      <c r="B114" s="13" t="s">
        <v>160</v>
      </c>
      <c r="C114" s="13" t="s">
        <v>162</v>
      </c>
      <c r="D114" s="13" t="s">
        <v>65</v>
      </c>
      <c r="E114" s="13" t="n">
        <v>1</v>
      </c>
      <c r="F114" s="13" t="s">
        <v>139</v>
      </c>
      <c r="G114" s="13" t="s">
        <v>161</v>
      </c>
      <c r="I114" s="1"/>
    </row>
    <row r="115" customFormat="false" ht="15" hidden="false" customHeight="true" outlineLevel="0" collapsed="false">
      <c r="A115" s="13" t="s">
        <v>118</v>
      </c>
      <c r="B115" s="13" t="s">
        <v>160</v>
      </c>
      <c r="C115" s="13" t="s">
        <v>162</v>
      </c>
      <c r="D115" s="13" t="s">
        <v>46</v>
      </c>
      <c r="E115" s="13" t="n">
        <v>2</v>
      </c>
      <c r="F115" s="13" t="s">
        <v>139</v>
      </c>
      <c r="G115" s="13" t="s">
        <v>161</v>
      </c>
      <c r="I115" s="1"/>
    </row>
    <row r="116" customFormat="false" ht="15" hidden="false" customHeight="true" outlineLevel="0" collapsed="false">
      <c r="A116" s="13" t="s">
        <v>118</v>
      </c>
      <c r="B116" s="13" t="s">
        <v>160</v>
      </c>
      <c r="C116" s="13" t="s">
        <v>162</v>
      </c>
      <c r="D116" s="13" t="s">
        <v>130</v>
      </c>
      <c r="E116" s="13" t="n">
        <v>2</v>
      </c>
      <c r="F116" s="13" t="s">
        <v>139</v>
      </c>
      <c r="G116" s="13" t="s">
        <v>161</v>
      </c>
      <c r="I116" s="1"/>
    </row>
    <row r="117" customFormat="false" ht="15" hidden="false" customHeight="true" outlineLevel="0" collapsed="false">
      <c r="A117" s="13" t="s">
        <v>118</v>
      </c>
      <c r="B117" s="13" t="s">
        <v>160</v>
      </c>
      <c r="C117" s="13" t="s">
        <v>162</v>
      </c>
      <c r="D117" s="13" t="s">
        <v>132</v>
      </c>
      <c r="E117" s="13" t="n">
        <v>3</v>
      </c>
      <c r="F117" s="13" t="s">
        <v>139</v>
      </c>
      <c r="G117" s="13" t="s">
        <v>161</v>
      </c>
      <c r="I117" s="1"/>
    </row>
    <row r="118" customFormat="false" ht="15" hidden="false" customHeight="true" outlineLevel="0" collapsed="false">
      <c r="A118" s="13" t="s">
        <v>118</v>
      </c>
      <c r="B118" s="13" t="s">
        <v>163</v>
      </c>
      <c r="C118" s="13" t="s">
        <v>126</v>
      </c>
      <c r="D118" s="13" t="s">
        <v>44</v>
      </c>
      <c r="E118" s="13" t="n">
        <v>1</v>
      </c>
      <c r="F118" s="13" t="s">
        <v>127</v>
      </c>
      <c r="G118" s="13" t="s">
        <v>164</v>
      </c>
      <c r="I118" s="1"/>
    </row>
    <row r="119" customFormat="false" ht="15" hidden="false" customHeight="true" outlineLevel="0" collapsed="false">
      <c r="A119" s="13" t="s">
        <v>118</v>
      </c>
      <c r="B119" s="13" t="s">
        <v>163</v>
      </c>
      <c r="C119" s="13" t="s">
        <v>126</v>
      </c>
      <c r="D119" s="13" t="s">
        <v>65</v>
      </c>
      <c r="E119" s="13" t="n">
        <v>1</v>
      </c>
      <c r="F119" s="13" t="s">
        <v>127</v>
      </c>
      <c r="G119" s="13" t="s">
        <v>164</v>
      </c>
      <c r="I119" s="1"/>
    </row>
    <row r="120" customFormat="false" ht="15" hidden="false" customHeight="true" outlineLevel="0" collapsed="false">
      <c r="A120" s="13" t="s">
        <v>118</v>
      </c>
      <c r="B120" s="13" t="s">
        <v>163</v>
      </c>
      <c r="C120" s="13" t="s">
        <v>126</v>
      </c>
      <c r="D120" s="13" t="s">
        <v>46</v>
      </c>
      <c r="E120" s="13" t="n">
        <v>2</v>
      </c>
      <c r="F120" s="13" t="s">
        <v>127</v>
      </c>
      <c r="G120" s="13" t="s">
        <v>164</v>
      </c>
      <c r="I120" s="1"/>
    </row>
    <row r="121" customFormat="false" ht="15" hidden="false" customHeight="true" outlineLevel="0" collapsed="false">
      <c r="A121" s="13" t="s">
        <v>118</v>
      </c>
      <c r="B121" s="13" t="s">
        <v>163</v>
      </c>
      <c r="C121" s="13" t="s">
        <v>126</v>
      </c>
      <c r="D121" s="13" t="s">
        <v>130</v>
      </c>
      <c r="E121" s="13" t="n">
        <v>2</v>
      </c>
      <c r="F121" s="13" t="s">
        <v>127</v>
      </c>
      <c r="G121" s="13" t="s">
        <v>164</v>
      </c>
      <c r="I121" s="1"/>
    </row>
    <row r="122" customFormat="false" ht="15" hidden="false" customHeight="true" outlineLevel="0" collapsed="false">
      <c r="A122" s="13" t="s">
        <v>118</v>
      </c>
      <c r="B122" s="13" t="s">
        <v>163</v>
      </c>
      <c r="C122" s="13" t="s">
        <v>162</v>
      </c>
      <c r="D122" s="13" t="s">
        <v>44</v>
      </c>
      <c r="E122" s="13" t="n">
        <v>1</v>
      </c>
      <c r="F122" s="13" t="s">
        <v>139</v>
      </c>
      <c r="G122" s="13" t="s">
        <v>164</v>
      </c>
      <c r="I122" s="1"/>
    </row>
    <row r="123" customFormat="false" ht="15" hidden="false" customHeight="true" outlineLevel="0" collapsed="false">
      <c r="A123" s="13" t="s">
        <v>118</v>
      </c>
      <c r="B123" s="13" t="s">
        <v>163</v>
      </c>
      <c r="C123" s="13" t="s">
        <v>162</v>
      </c>
      <c r="D123" s="13" t="s">
        <v>65</v>
      </c>
      <c r="E123" s="13" t="n">
        <v>1</v>
      </c>
      <c r="F123" s="13" t="s">
        <v>139</v>
      </c>
      <c r="G123" s="13" t="s">
        <v>164</v>
      </c>
      <c r="I123" s="1"/>
    </row>
    <row r="124" customFormat="false" ht="15" hidden="false" customHeight="true" outlineLevel="0" collapsed="false">
      <c r="A124" s="13" t="s">
        <v>118</v>
      </c>
      <c r="B124" s="13" t="s">
        <v>163</v>
      </c>
      <c r="C124" s="13" t="s">
        <v>162</v>
      </c>
      <c r="D124" s="13" t="s">
        <v>46</v>
      </c>
      <c r="E124" s="13" t="n">
        <v>2</v>
      </c>
      <c r="F124" s="13" t="s">
        <v>139</v>
      </c>
      <c r="G124" s="13" t="s">
        <v>164</v>
      </c>
      <c r="I124" s="1"/>
    </row>
    <row r="125" customFormat="false" ht="15" hidden="false" customHeight="true" outlineLevel="0" collapsed="false">
      <c r="A125" s="13" t="s">
        <v>118</v>
      </c>
      <c r="B125" s="13" t="s">
        <v>163</v>
      </c>
      <c r="C125" s="13" t="s">
        <v>162</v>
      </c>
      <c r="D125" s="13" t="s">
        <v>130</v>
      </c>
      <c r="E125" s="13" t="n">
        <v>2</v>
      </c>
      <c r="F125" s="13" t="s">
        <v>139</v>
      </c>
      <c r="G125" s="13" t="s">
        <v>164</v>
      </c>
      <c r="I125" s="1"/>
    </row>
    <row r="126" customFormat="false" ht="15" hidden="false" customHeight="true" outlineLevel="0" collapsed="false">
      <c r="A126" s="13" t="s">
        <v>118</v>
      </c>
      <c r="B126" s="13" t="s">
        <v>163</v>
      </c>
      <c r="C126" s="13" t="s">
        <v>162</v>
      </c>
      <c r="D126" s="13" t="s">
        <v>132</v>
      </c>
      <c r="E126" s="13" t="n">
        <v>3</v>
      </c>
      <c r="F126" s="13" t="s">
        <v>139</v>
      </c>
      <c r="G126" s="13" t="s">
        <v>164</v>
      </c>
      <c r="I126" s="1"/>
    </row>
    <row r="127" customFormat="false" ht="15" hidden="false" customHeight="true" outlineLevel="0" collapsed="false">
      <c r="A127" s="13" t="s">
        <v>118</v>
      </c>
      <c r="B127" s="13" t="s">
        <v>165</v>
      </c>
      <c r="C127" s="13" t="s">
        <v>126</v>
      </c>
      <c r="D127" s="13" t="s">
        <v>44</v>
      </c>
      <c r="E127" s="13" t="n">
        <v>1</v>
      </c>
      <c r="F127" s="13" t="s">
        <v>127</v>
      </c>
      <c r="G127" s="13" t="s">
        <v>164</v>
      </c>
      <c r="I127" s="1"/>
    </row>
    <row r="128" customFormat="false" ht="15" hidden="false" customHeight="true" outlineLevel="0" collapsed="false">
      <c r="A128" s="13" t="s">
        <v>118</v>
      </c>
      <c r="B128" s="13" t="s">
        <v>165</v>
      </c>
      <c r="C128" s="13" t="s">
        <v>126</v>
      </c>
      <c r="D128" s="13" t="s">
        <v>65</v>
      </c>
      <c r="E128" s="13" t="n">
        <v>1</v>
      </c>
      <c r="F128" s="13" t="s">
        <v>127</v>
      </c>
      <c r="G128" s="13" t="s">
        <v>164</v>
      </c>
      <c r="I128" s="1"/>
    </row>
    <row r="129" customFormat="false" ht="15" hidden="false" customHeight="true" outlineLevel="0" collapsed="false">
      <c r="A129" s="13" t="s">
        <v>118</v>
      </c>
      <c r="B129" s="13" t="s">
        <v>165</v>
      </c>
      <c r="C129" s="13" t="s">
        <v>126</v>
      </c>
      <c r="D129" s="13" t="s">
        <v>46</v>
      </c>
      <c r="E129" s="13" t="n">
        <v>2</v>
      </c>
      <c r="F129" s="13" t="s">
        <v>127</v>
      </c>
      <c r="G129" s="13" t="s">
        <v>164</v>
      </c>
      <c r="I129" s="1"/>
    </row>
    <row r="130" customFormat="false" ht="15" hidden="false" customHeight="true" outlineLevel="0" collapsed="false">
      <c r="A130" s="13" t="s">
        <v>118</v>
      </c>
      <c r="B130" s="13" t="s">
        <v>165</v>
      </c>
      <c r="C130" s="13" t="s">
        <v>126</v>
      </c>
      <c r="D130" s="13" t="s">
        <v>130</v>
      </c>
      <c r="E130" s="13" t="n">
        <v>2</v>
      </c>
      <c r="F130" s="13" t="s">
        <v>127</v>
      </c>
      <c r="G130" s="13" t="s">
        <v>164</v>
      </c>
      <c r="I130" s="1"/>
    </row>
    <row r="131" customFormat="false" ht="15" hidden="false" customHeight="true" outlineLevel="0" collapsed="false">
      <c r="A131" s="13" t="s">
        <v>118</v>
      </c>
      <c r="B131" s="13" t="s">
        <v>165</v>
      </c>
      <c r="C131" s="13" t="s">
        <v>166</v>
      </c>
      <c r="D131" s="13" t="s">
        <v>44</v>
      </c>
      <c r="E131" s="13" t="n">
        <v>1</v>
      </c>
      <c r="F131" s="13" t="s">
        <v>139</v>
      </c>
      <c r="G131" s="13" t="s">
        <v>164</v>
      </c>
      <c r="I131" s="1"/>
    </row>
    <row r="132" customFormat="false" ht="15" hidden="false" customHeight="true" outlineLevel="0" collapsed="false">
      <c r="A132" s="13" t="s">
        <v>118</v>
      </c>
      <c r="B132" s="13" t="s">
        <v>165</v>
      </c>
      <c r="C132" s="13" t="s">
        <v>166</v>
      </c>
      <c r="D132" s="13" t="s">
        <v>65</v>
      </c>
      <c r="E132" s="13" t="n">
        <v>1</v>
      </c>
      <c r="F132" s="13" t="s">
        <v>139</v>
      </c>
      <c r="G132" s="13" t="s">
        <v>164</v>
      </c>
      <c r="I132" s="1"/>
    </row>
    <row r="133" customFormat="false" ht="15" hidden="false" customHeight="true" outlineLevel="0" collapsed="false">
      <c r="A133" s="13" t="s">
        <v>118</v>
      </c>
      <c r="B133" s="13" t="s">
        <v>165</v>
      </c>
      <c r="C133" s="13" t="s">
        <v>166</v>
      </c>
      <c r="D133" s="13" t="s">
        <v>46</v>
      </c>
      <c r="E133" s="13" t="n">
        <v>2</v>
      </c>
      <c r="F133" s="13" t="s">
        <v>139</v>
      </c>
      <c r="G133" s="13" t="s">
        <v>164</v>
      </c>
      <c r="I133" s="1"/>
    </row>
    <row r="134" customFormat="false" ht="15" hidden="false" customHeight="true" outlineLevel="0" collapsed="false">
      <c r="A134" s="13" t="s">
        <v>118</v>
      </c>
      <c r="B134" s="13" t="s">
        <v>165</v>
      </c>
      <c r="C134" s="13" t="s">
        <v>166</v>
      </c>
      <c r="D134" s="13" t="s">
        <v>130</v>
      </c>
      <c r="E134" s="13" t="n">
        <v>2</v>
      </c>
      <c r="F134" s="13" t="s">
        <v>139</v>
      </c>
      <c r="G134" s="13" t="s">
        <v>164</v>
      </c>
      <c r="I134" s="1"/>
    </row>
    <row r="135" customFormat="false" ht="15" hidden="false" customHeight="true" outlineLevel="0" collapsed="false">
      <c r="A135" s="13" t="s">
        <v>118</v>
      </c>
      <c r="B135" s="13" t="s">
        <v>165</v>
      </c>
      <c r="C135" s="13" t="s">
        <v>166</v>
      </c>
      <c r="D135" s="13" t="s">
        <v>132</v>
      </c>
      <c r="E135" s="13" t="n">
        <v>3</v>
      </c>
      <c r="F135" s="13" t="s">
        <v>139</v>
      </c>
      <c r="G135" s="13" t="s">
        <v>164</v>
      </c>
      <c r="I135" s="1"/>
    </row>
    <row r="136" customFormat="false" ht="15" hidden="false" customHeight="true" outlineLevel="0" collapsed="false">
      <c r="A136" s="13" t="s">
        <v>118</v>
      </c>
      <c r="B136" s="13" t="s">
        <v>167</v>
      </c>
      <c r="C136" s="13" t="s">
        <v>126</v>
      </c>
      <c r="D136" s="13" t="s">
        <v>44</v>
      </c>
      <c r="E136" s="13" t="n">
        <v>1</v>
      </c>
      <c r="F136" s="13" t="s">
        <v>127</v>
      </c>
      <c r="G136" s="13" t="s">
        <v>168</v>
      </c>
      <c r="I136" s="1"/>
    </row>
    <row r="137" customFormat="false" ht="15" hidden="false" customHeight="true" outlineLevel="0" collapsed="false">
      <c r="A137" s="13" t="s">
        <v>118</v>
      </c>
      <c r="B137" s="13" t="s">
        <v>167</v>
      </c>
      <c r="C137" s="13" t="s">
        <v>126</v>
      </c>
      <c r="D137" s="13" t="s">
        <v>65</v>
      </c>
      <c r="E137" s="13" t="n">
        <v>1</v>
      </c>
      <c r="F137" s="13" t="s">
        <v>127</v>
      </c>
      <c r="G137" s="13" t="s">
        <v>168</v>
      </c>
      <c r="I137" s="1"/>
    </row>
    <row r="138" customFormat="false" ht="15" hidden="false" customHeight="true" outlineLevel="0" collapsed="false">
      <c r="A138" s="13" t="s">
        <v>118</v>
      </c>
      <c r="B138" s="13" t="s">
        <v>167</v>
      </c>
      <c r="C138" s="13" t="s">
        <v>126</v>
      </c>
      <c r="D138" s="13" t="s">
        <v>46</v>
      </c>
      <c r="E138" s="13" t="n">
        <v>2</v>
      </c>
      <c r="F138" s="13" t="s">
        <v>127</v>
      </c>
      <c r="G138" s="13" t="s">
        <v>168</v>
      </c>
      <c r="I138" s="1"/>
    </row>
    <row r="139" customFormat="false" ht="15" hidden="false" customHeight="true" outlineLevel="0" collapsed="false">
      <c r="A139" s="13" t="s">
        <v>118</v>
      </c>
      <c r="B139" s="13" t="s">
        <v>167</v>
      </c>
      <c r="C139" s="13" t="s">
        <v>126</v>
      </c>
      <c r="D139" s="13" t="s">
        <v>130</v>
      </c>
      <c r="E139" s="13" t="n">
        <v>2</v>
      </c>
      <c r="F139" s="13" t="s">
        <v>127</v>
      </c>
      <c r="G139" s="13" t="s">
        <v>168</v>
      </c>
      <c r="I139" s="1"/>
    </row>
    <row r="140" customFormat="false" ht="15" hidden="false" customHeight="true" outlineLevel="0" collapsed="false">
      <c r="A140" s="13" t="s">
        <v>118</v>
      </c>
      <c r="B140" s="13" t="s">
        <v>167</v>
      </c>
      <c r="C140" s="13" t="s">
        <v>169</v>
      </c>
      <c r="D140" s="13" t="s">
        <v>44</v>
      </c>
      <c r="E140" s="13" t="n">
        <v>1</v>
      </c>
      <c r="F140" s="13" t="s">
        <v>139</v>
      </c>
      <c r="G140" s="13" t="s">
        <v>168</v>
      </c>
      <c r="I140" s="1"/>
    </row>
    <row r="141" customFormat="false" ht="15" hidden="false" customHeight="true" outlineLevel="0" collapsed="false">
      <c r="A141" s="13" t="s">
        <v>118</v>
      </c>
      <c r="B141" s="13" t="s">
        <v>167</v>
      </c>
      <c r="C141" s="13" t="s">
        <v>169</v>
      </c>
      <c r="D141" s="13" t="s">
        <v>65</v>
      </c>
      <c r="E141" s="13" t="n">
        <v>1</v>
      </c>
      <c r="F141" s="13" t="s">
        <v>139</v>
      </c>
      <c r="G141" s="13" t="s">
        <v>168</v>
      </c>
      <c r="I141" s="1"/>
    </row>
    <row r="142" customFormat="false" ht="15" hidden="false" customHeight="true" outlineLevel="0" collapsed="false">
      <c r="A142" s="13" t="s">
        <v>118</v>
      </c>
      <c r="B142" s="13" t="s">
        <v>167</v>
      </c>
      <c r="C142" s="13" t="s">
        <v>169</v>
      </c>
      <c r="D142" s="13" t="s">
        <v>46</v>
      </c>
      <c r="E142" s="13" t="n">
        <v>2</v>
      </c>
      <c r="F142" s="13" t="s">
        <v>139</v>
      </c>
      <c r="G142" s="13" t="s">
        <v>168</v>
      </c>
      <c r="I142" s="1"/>
    </row>
    <row r="143" customFormat="false" ht="15" hidden="false" customHeight="true" outlineLevel="0" collapsed="false">
      <c r="A143" s="13" t="s">
        <v>118</v>
      </c>
      <c r="B143" s="13" t="s">
        <v>167</v>
      </c>
      <c r="C143" s="13" t="s">
        <v>169</v>
      </c>
      <c r="D143" s="13" t="s">
        <v>130</v>
      </c>
      <c r="E143" s="13" t="n">
        <v>2</v>
      </c>
      <c r="F143" s="13" t="s">
        <v>139</v>
      </c>
      <c r="G143" s="13" t="s">
        <v>168</v>
      </c>
      <c r="I143" s="1"/>
    </row>
    <row r="144" customFormat="false" ht="15" hidden="false" customHeight="true" outlineLevel="0" collapsed="false">
      <c r="A144" s="13" t="s">
        <v>118</v>
      </c>
      <c r="B144" s="13" t="s">
        <v>167</v>
      </c>
      <c r="C144" s="13" t="s">
        <v>169</v>
      </c>
      <c r="D144" s="13" t="s">
        <v>132</v>
      </c>
      <c r="E144" s="13" t="n">
        <v>3</v>
      </c>
      <c r="F144" s="13" t="s">
        <v>139</v>
      </c>
      <c r="G144" s="13" t="s">
        <v>168</v>
      </c>
      <c r="I144" s="1"/>
    </row>
    <row r="145" customFormat="false" ht="15" hidden="true" customHeight="true" outlineLevel="0" collapsed="false">
      <c r="A145" s="13" t="s">
        <v>123</v>
      </c>
      <c r="B145" s="13" t="s">
        <v>138</v>
      </c>
      <c r="C145" s="13" t="s">
        <v>58</v>
      </c>
      <c r="D145" s="13" t="s">
        <v>44</v>
      </c>
      <c r="E145" s="13" t="n">
        <v>1</v>
      </c>
      <c r="F145" s="13" t="s">
        <v>127</v>
      </c>
      <c r="G145" s="13"/>
      <c r="I145" s="1"/>
    </row>
    <row r="146" customFormat="false" ht="15" hidden="true" customHeight="true" outlineLevel="0" collapsed="false">
      <c r="A146" s="13" t="s">
        <v>123</v>
      </c>
      <c r="B146" s="13" t="s">
        <v>138</v>
      </c>
      <c r="C146" s="13" t="s">
        <v>58</v>
      </c>
      <c r="D146" s="13" t="s">
        <v>65</v>
      </c>
      <c r="E146" s="13" t="n">
        <v>1</v>
      </c>
      <c r="F146" s="13" t="s">
        <v>127</v>
      </c>
      <c r="G146" s="13"/>
      <c r="I146" s="1"/>
    </row>
    <row r="147" customFormat="false" ht="15" hidden="true" customHeight="true" outlineLevel="0" collapsed="false">
      <c r="A147" s="13" t="s">
        <v>123</v>
      </c>
      <c r="B147" s="13" t="s">
        <v>138</v>
      </c>
      <c r="C147" s="13" t="s">
        <v>58</v>
      </c>
      <c r="D147" s="13" t="s">
        <v>46</v>
      </c>
      <c r="E147" s="13" t="n">
        <v>4</v>
      </c>
      <c r="F147" s="13" t="s">
        <v>127</v>
      </c>
      <c r="G147" s="13"/>
      <c r="I147" s="1"/>
    </row>
    <row r="148" customFormat="false" ht="15" hidden="true" customHeight="true" outlineLevel="0" collapsed="false">
      <c r="A148" s="13" t="s">
        <v>123</v>
      </c>
      <c r="B148" s="13" t="s">
        <v>138</v>
      </c>
      <c r="C148" s="13" t="s">
        <v>58</v>
      </c>
      <c r="D148" s="13" t="s">
        <v>130</v>
      </c>
      <c r="E148" s="13" t="n">
        <v>4</v>
      </c>
      <c r="F148" s="13" t="s">
        <v>127</v>
      </c>
      <c r="G148" s="13"/>
      <c r="I148" s="1"/>
    </row>
    <row r="149" customFormat="false" ht="15" hidden="true" customHeight="true" outlineLevel="0" collapsed="false">
      <c r="A149" s="13" t="s">
        <v>148</v>
      </c>
      <c r="B149" s="13" t="s">
        <v>138</v>
      </c>
      <c r="C149" s="13" t="s">
        <v>149</v>
      </c>
      <c r="D149" s="13" t="s">
        <v>65</v>
      </c>
      <c r="E149" s="13" t="n">
        <v>1</v>
      </c>
      <c r="F149" s="13" t="s">
        <v>150</v>
      </c>
      <c r="G149" s="13"/>
      <c r="I149" s="1"/>
    </row>
    <row r="150" customFormat="false" ht="15" hidden="true" customHeight="true" outlineLevel="0" collapsed="false">
      <c r="A150" s="13" t="s">
        <v>148</v>
      </c>
      <c r="B150" s="13" t="s">
        <v>138</v>
      </c>
      <c r="C150" s="13" t="s">
        <v>149</v>
      </c>
      <c r="D150" s="13" t="s">
        <v>145</v>
      </c>
      <c r="E150" s="13" t="n">
        <v>1</v>
      </c>
      <c r="F150" s="13" t="s">
        <v>150</v>
      </c>
      <c r="G150" s="13"/>
      <c r="I150" s="1"/>
    </row>
    <row r="151" customFormat="false" ht="15" hidden="true" customHeight="true" outlineLevel="0" collapsed="false">
      <c r="A151" s="13" t="s">
        <v>148</v>
      </c>
      <c r="B151" s="13" t="s">
        <v>138</v>
      </c>
      <c r="C151" s="13" t="s">
        <v>149</v>
      </c>
      <c r="D151" s="13" t="s">
        <v>146</v>
      </c>
      <c r="E151" s="13" t="n">
        <v>4</v>
      </c>
      <c r="F151" s="13" t="s">
        <v>150</v>
      </c>
      <c r="G151" s="13"/>
      <c r="I151" s="1"/>
    </row>
    <row r="152" customFormat="false" ht="15" hidden="true" customHeight="true" outlineLevel="0" collapsed="false">
      <c r="A152" s="13" t="s">
        <v>123</v>
      </c>
      <c r="B152" s="13" t="s">
        <v>140</v>
      </c>
      <c r="C152" s="13" t="s">
        <v>58</v>
      </c>
      <c r="D152" s="13" t="s">
        <v>44</v>
      </c>
      <c r="E152" s="13" t="n">
        <v>1</v>
      </c>
      <c r="F152" s="13" t="s">
        <v>127</v>
      </c>
      <c r="G152" s="13"/>
      <c r="I152" s="1"/>
    </row>
    <row r="153" customFormat="false" ht="15" hidden="true" customHeight="true" outlineLevel="0" collapsed="false">
      <c r="A153" s="13" t="s">
        <v>123</v>
      </c>
      <c r="B153" s="13" t="s">
        <v>140</v>
      </c>
      <c r="C153" s="13" t="s">
        <v>58</v>
      </c>
      <c r="D153" s="13" t="s">
        <v>65</v>
      </c>
      <c r="E153" s="13" t="n">
        <v>1</v>
      </c>
      <c r="F153" s="13" t="s">
        <v>127</v>
      </c>
      <c r="G153" s="13"/>
      <c r="I153" s="1"/>
    </row>
    <row r="154" customFormat="false" ht="15" hidden="true" customHeight="true" outlineLevel="0" collapsed="false">
      <c r="A154" s="13" t="s">
        <v>123</v>
      </c>
      <c r="B154" s="13" t="s">
        <v>140</v>
      </c>
      <c r="C154" s="13" t="s">
        <v>58</v>
      </c>
      <c r="D154" s="13" t="s">
        <v>46</v>
      </c>
      <c r="E154" s="13" t="n">
        <v>4</v>
      </c>
      <c r="F154" s="13" t="s">
        <v>127</v>
      </c>
      <c r="G154" s="13"/>
      <c r="I154" s="1"/>
    </row>
    <row r="155" customFormat="false" ht="15" hidden="true" customHeight="true" outlineLevel="0" collapsed="false">
      <c r="A155" s="13" t="s">
        <v>123</v>
      </c>
      <c r="B155" s="13" t="s">
        <v>140</v>
      </c>
      <c r="C155" s="13" t="s">
        <v>58</v>
      </c>
      <c r="D155" s="13" t="s">
        <v>130</v>
      </c>
      <c r="E155" s="13" t="n">
        <v>5</v>
      </c>
      <c r="F155" s="13" t="s">
        <v>127</v>
      </c>
      <c r="G155" s="13"/>
      <c r="I155" s="1"/>
    </row>
    <row r="156" customFormat="false" ht="15" hidden="true" customHeight="true" outlineLevel="0" collapsed="false">
      <c r="A156" s="13" t="s">
        <v>148</v>
      </c>
      <c r="B156" s="13" t="s">
        <v>140</v>
      </c>
      <c r="C156" s="13" t="s">
        <v>149</v>
      </c>
      <c r="D156" s="13" t="s">
        <v>65</v>
      </c>
      <c r="E156" s="13" t="n">
        <v>1</v>
      </c>
      <c r="F156" s="13" t="s">
        <v>150</v>
      </c>
      <c r="G156" s="13"/>
      <c r="I156" s="1"/>
    </row>
    <row r="157" customFormat="false" ht="15" hidden="true" customHeight="true" outlineLevel="0" collapsed="false">
      <c r="A157" s="13" t="s">
        <v>148</v>
      </c>
      <c r="B157" s="13" t="s">
        <v>140</v>
      </c>
      <c r="C157" s="13" t="s">
        <v>149</v>
      </c>
      <c r="D157" s="13" t="s">
        <v>145</v>
      </c>
      <c r="E157" s="13" t="n">
        <v>1</v>
      </c>
      <c r="F157" s="13" t="s">
        <v>150</v>
      </c>
      <c r="G157" s="13"/>
      <c r="I157" s="1"/>
    </row>
    <row r="158" customFormat="false" ht="15" hidden="true" customHeight="true" outlineLevel="0" collapsed="false">
      <c r="A158" s="13" t="s">
        <v>148</v>
      </c>
      <c r="B158" s="13" t="s">
        <v>140</v>
      </c>
      <c r="C158" s="13" t="s">
        <v>149</v>
      </c>
      <c r="D158" s="13" t="s">
        <v>146</v>
      </c>
      <c r="E158" s="13" t="n">
        <v>4</v>
      </c>
      <c r="F158" s="13" t="s">
        <v>150</v>
      </c>
      <c r="G158" s="13"/>
      <c r="I158" s="1"/>
    </row>
    <row r="159" customFormat="false" ht="15" hidden="true" customHeight="true" outlineLevel="0" collapsed="false">
      <c r="A159" s="13" t="s">
        <v>123</v>
      </c>
      <c r="B159" s="13" t="s">
        <v>140</v>
      </c>
      <c r="C159" s="13" t="s">
        <v>61</v>
      </c>
      <c r="D159" s="13" t="s">
        <v>44</v>
      </c>
      <c r="E159" s="13" t="n">
        <v>1</v>
      </c>
      <c r="F159" s="13" t="s">
        <v>127</v>
      </c>
      <c r="G159" s="13"/>
    </row>
    <row r="160" customFormat="false" ht="15" hidden="true" customHeight="true" outlineLevel="0" collapsed="false">
      <c r="A160" s="13" t="s">
        <v>123</v>
      </c>
      <c r="B160" s="13" t="s">
        <v>140</v>
      </c>
      <c r="C160" s="13" t="s">
        <v>61</v>
      </c>
      <c r="D160" s="13" t="s">
        <v>65</v>
      </c>
      <c r="E160" s="13" t="n">
        <v>1</v>
      </c>
      <c r="F160" s="13" t="s">
        <v>127</v>
      </c>
      <c r="G160" s="13"/>
    </row>
    <row r="161" customFormat="false" ht="15" hidden="true" customHeight="true" outlineLevel="0" collapsed="false">
      <c r="A161" s="13" t="s">
        <v>123</v>
      </c>
      <c r="B161" s="13" t="s">
        <v>140</v>
      </c>
      <c r="C161" s="13" t="s">
        <v>61</v>
      </c>
      <c r="D161" s="13" t="s">
        <v>46</v>
      </c>
      <c r="E161" s="13" t="n">
        <v>4</v>
      </c>
      <c r="F161" s="13" t="s">
        <v>127</v>
      </c>
      <c r="G161" s="13"/>
    </row>
    <row r="162" customFormat="false" ht="15" hidden="true" customHeight="true" outlineLevel="0" collapsed="false">
      <c r="A162" s="13" t="s">
        <v>123</v>
      </c>
      <c r="B162" s="13" t="s">
        <v>140</v>
      </c>
      <c r="C162" s="13" t="s">
        <v>61</v>
      </c>
      <c r="D162" s="13" t="s">
        <v>130</v>
      </c>
      <c r="E162" s="13" t="n">
        <v>5</v>
      </c>
      <c r="F162" s="13" t="s">
        <v>127</v>
      </c>
      <c r="G162" s="1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1" sqref="E2:E16 C15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17.03"/>
    <col collapsed="false" customWidth="true" hidden="false" outlineLevel="0" max="3" min="3" style="1" width="20.43"/>
    <col collapsed="false" customWidth="true" hidden="false" outlineLevel="0" max="4" min="4" style="1" width="56.76"/>
    <col collapsed="false" customWidth="true" hidden="false" outlineLevel="0" max="5" min="5" style="1" width="34.06"/>
    <col collapsed="false" customWidth="true" hidden="false" outlineLevel="0" max="6" min="6" style="1" width="18.16"/>
    <col collapsed="false" customWidth="true" hidden="false" outlineLevel="0" max="7" min="7" style="8" width="20"/>
  </cols>
  <sheetData>
    <row r="1" customFormat="false" ht="15" hidden="false" customHeight="true" outlineLevel="0" collapsed="false">
      <c r="A1" s="9" t="s">
        <v>112</v>
      </c>
      <c r="B1" s="9" t="s">
        <v>117</v>
      </c>
      <c r="C1" s="9" t="s">
        <v>170</v>
      </c>
      <c r="D1" s="9" t="s">
        <v>171</v>
      </c>
      <c r="E1" s="9" t="s">
        <v>172</v>
      </c>
      <c r="F1" s="9" t="s">
        <v>116</v>
      </c>
      <c r="G1" s="3" t="s">
        <v>173</v>
      </c>
      <c r="H1" s="3"/>
      <c r="I1" s="3"/>
      <c r="J1" s="3"/>
      <c r="K1" s="3"/>
    </row>
    <row r="2" customFormat="false" ht="15" hidden="false" customHeight="true" outlineLevel="0" collapsed="false">
      <c r="A2" s="3" t="s">
        <v>118</v>
      </c>
      <c r="B2" s="3" t="s">
        <v>122</v>
      </c>
      <c r="C2" s="3" t="s">
        <v>119</v>
      </c>
      <c r="D2" s="3" t="s">
        <v>174</v>
      </c>
      <c r="E2" s="3" t="s">
        <v>175</v>
      </c>
      <c r="F2" s="3" t="s">
        <v>176</v>
      </c>
      <c r="G2" s="3" t="s">
        <v>119</v>
      </c>
      <c r="H2" s="3"/>
      <c r="I2" s="3"/>
      <c r="J2" s="3"/>
      <c r="K2" s="3"/>
    </row>
    <row r="3" customFormat="false" ht="15" hidden="false" customHeight="true" outlineLevel="0" collapsed="false">
      <c r="A3" s="3" t="s">
        <v>118</v>
      </c>
      <c r="B3" s="3" t="s">
        <v>122</v>
      </c>
      <c r="C3" s="3" t="s">
        <v>135</v>
      </c>
      <c r="D3" s="3" t="s">
        <v>177</v>
      </c>
      <c r="E3" s="3" t="s">
        <v>178</v>
      </c>
      <c r="F3" s="3" t="s">
        <v>176</v>
      </c>
      <c r="G3" s="3" t="s">
        <v>135</v>
      </c>
      <c r="H3" s="3"/>
      <c r="I3" s="3"/>
      <c r="J3" s="3"/>
      <c r="K3" s="3"/>
    </row>
    <row r="4" customFormat="false" ht="15" hidden="false" customHeight="true" outlineLevel="0" collapsed="false">
      <c r="A4" s="3" t="s">
        <v>118</v>
      </c>
      <c r="B4" s="3" t="s">
        <v>153</v>
      </c>
      <c r="C4" s="3" t="s">
        <v>152</v>
      </c>
      <c r="D4" s="3" t="s">
        <v>179</v>
      </c>
      <c r="E4" s="3" t="s">
        <v>180</v>
      </c>
      <c r="F4" s="3" t="s">
        <v>176</v>
      </c>
      <c r="G4" s="3" t="s">
        <v>152</v>
      </c>
      <c r="H4" s="3"/>
      <c r="I4" s="3"/>
      <c r="J4" s="3"/>
      <c r="K4" s="3"/>
    </row>
    <row r="5" customFormat="false" ht="15" hidden="false" customHeight="true" outlineLevel="0" collapsed="false">
      <c r="A5" s="3" t="s">
        <v>118</v>
      </c>
      <c r="B5" s="3" t="s">
        <v>153</v>
      </c>
      <c r="C5" s="3" t="s">
        <v>155</v>
      </c>
      <c r="D5" s="3" t="s">
        <v>181</v>
      </c>
      <c r="E5" s="3" t="s">
        <v>182</v>
      </c>
      <c r="F5" s="3" t="s">
        <v>176</v>
      </c>
      <c r="G5" s="3" t="s">
        <v>155</v>
      </c>
      <c r="H5" s="3"/>
      <c r="I5" s="3"/>
      <c r="J5" s="3"/>
      <c r="K5" s="3"/>
    </row>
    <row r="6" customFormat="false" ht="15" hidden="false" customHeight="true" outlineLevel="0" collapsed="false">
      <c r="A6" s="3" t="s">
        <v>118</v>
      </c>
      <c r="B6" s="3" t="s">
        <v>158</v>
      </c>
      <c r="C6" s="3" t="s">
        <v>157</v>
      </c>
      <c r="D6" s="3" t="s">
        <v>183</v>
      </c>
      <c r="E6" s="3" t="s">
        <v>184</v>
      </c>
      <c r="F6" s="3" t="s">
        <v>176</v>
      </c>
      <c r="G6" s="3" t="s">
        <v>157</v>
      </c>
      <c r="H6" s="3"/>
      <c r="I6" s="3"/>
      <c r="J6" s="3"/>
      <c r="K6" s="3"/>
    </row>
    <row r="7" customFormat="false" ht="15" hidden="false" customHeight="true" outlineLevel="0" collapsed="false">
      <c r="A7" s="3" t="s">
        <v>118</v>
      </c>
      <c r="B7" s="3" t="s">
        <v>161</v>
      </c>
      <c r="C7" s="3" t="s">
        <v>160</v>
      </c>
      <c r="D7" s="3" t="s">
        <v>185</v>
      </c>
      <c r="E7" s="3" t="s">
        <v>186</v>
      </c>
      <c r="F7" s="3" t="s">
        <v>176</v>
      </c>
      <c r="G7" s="3" t="s">
        <v>160</v>
      </c>
      <c r="H7" s="3"/>
      <c r="I7" s="3"/>
      <c r="J7" s="3"/>
      <c r="K7" s="3"/>
    </row>
    <row r="8" customFormat="false" ht="15" hidden="false" customHeight="true" outlineLevel="0" collapsed="false">
      <c r="A8" s="3" t="s">
        <v>118</v>
      </c>
      <c r="B8" s="3" t="s">
        <v>164</v>
      </c>
      <c r="C8" s="3" t="s">
        <v>163</v>
      </c>
      <c r="D8" s="3" t="s">
        <v>187</v>
      </c>
      <c r="E8" s="3" t="s">
        <v>186</v>
      </c>
      <c r="F8" s="3" t="s">
        <v>176</v>
      </c>
      <c r="G8" s="3" t="s">
        <v>163</v>
      </c>
      <c r="H8" s="3"/>
      <c r="I8" s="3"/>
      <c r="J8" s="3"/>
      <c r="K8" s="3"/>
    </row>
    <row r="9" customFormat="false" ht="15" hidden="false" customHeight="true" outlineLevel="0" collapsed="false">
      <c r="A9" s="3" t="s">
        <v>118</v>
      </c>
      <c r="B9" s="3" t="s">
        <v>164</v>
      </c>
      <c r="C9" s="3" t="s">
        <v>165</v>
      </c>
      <c r="D9" s="3" t="s">
        <v>188</v>
      </c>
      <c r="E9" s="3" t="s">
        <v>189</v>
      </c>
      <c r="F9" s="3" t="s">
        <v>176</v>
      </c>
      <c r="G9" s="3" t="s">
        <v>165</v>
      </c>
      <c r="H9" s="3"/>
      <c r="I9" s="3"/>
      <c r="J9" s="3"/>
      <c r="K9" s="3"/>
    </row>
    <row r="10" customFormat="false" ht="15" hidden="false" customHeight="true" outlineLevel="0" collapsed="false">
      <c r="A10" s="3" t="s">
        <v>118</v>
      </c>
      <c r="B10" s="3" t="s">
        <v>168</v>
      </c>
      <c r="C10" s="3" t="s">
        <v>167</v>
      </c>
      <c r="D10" s="3" t="s">
        <v>190</v>
      </c>
      <c r="E10" s="3" t="s">
        <v>191</v>
      </c>
      <c r="F10" s="3" t="s">
        <v>176</v>
      </c>
      <c r="G10" s="3" t="s">
        <v>167</v>
      </c>
      <c r="H10" s="3"/>
      <c r="I10" s="3"/>
      <c r="J10" s="3"/>
      <c r="K10" s="3"/>
    </row>
    <row r="11" customFormat="false" ht="15" hidden="false" customHeight="true" outlineLevel="0" collapsed="false">
      <c r="A11" s="3" t="s">
        <v>118</v>
      </c>
      <c r="B11" s="3" t="s">
        <v>129</v>
      </c>
      <c r="C11" s="3" t="s">
        <v>128</v>
      </c>
      <c r="D11" s="3" t="s">
        <v>192</v>
      </c>
      <c r="E11" s="3" t="s">
        <v>193</v>
      </c>
      <c r="F11" s="3" t="s">
        <v>176</v>
      </c>
      <c r="G11" s="3" t="s">
        <v>128</v>
      </c>
      <c r="H11" s="3"/>
      <c r="I11" s="3"/>
      <c r="J11" s="3"/>
      <c r="K11" s="3"/>
    </row>
    <row r="12" customFormat="false" ht="15" hidden="false" customHeight="true" outlineLevel="0" collapsed="false">
      <c r="A12" s="3" t="s">
        <v>123</v>
      </c>
      <c r="B12" s="3" t="s">
        <v>194</v>
      </c>
      <c r="C12" s="3" t="s">
        <v>133</v>
      </c>
      <c r="D12" s="3" t="s">
        <v>195</v>
      </c>
      <c r="E12" s="3" t="s">
        <v>126</v>
      </c>
      <c r="F12" s="3" t="s">
        <v>196</v>
      </c>
      <c r="G12" s="3" t="s">
        <v>133</v>
      </c>
      <c r="H12" s="3"/>
      <c r="I12" s="3"/>
      <c r="J12" s="3"/>
      <c r="K12" s="3"/>
    </row>
    <row r="13" customFormat="false" ht="15" hidden="false" customHeight="true" outlineLevel="0" collapsed="false">
      <c r="A13" s="3" t="s">
        <v>123</v>
      </c>
      <c r="B13" s="3" t="s">
        <v>194</v>
      </c>
      <c r="C13" s="3" t="s">
        <v>124</v>
      </c>
      <c r="D13" s="3" t="s">
        <v>197</v>
      </c>
      <c r="E13" s="3" t="s">
        <v>151</v>
      </c>
      <c r="F13" s="3" t="s">
        <v>196</v>
      </c>
      <c r="G13" s="3" t="s">
        <v>124</v>
      </c>
      <c r="H13" s="3"/>
      <c r="I13" s="3"/>
      <c r="J13" s="3"/>
      <c r="K13" s="3"/>
    </row>
    <row r="14" customFormat="false" ht="15" hidden="false" customHeight="true" outlineLevel="0" collapsed="false">
      <c r="A14" s="3" t="s">
        <v>123</v>
      </c>
      <c r="B14" s="3" t="s">
        <v>194</v>
      </c>
      <c r="C14" s="3" t="s">
        <v>140</v>
      </c>
      <c r="D14" s="3" t="s">
        <v>198</v>
      </c>
      <c r="E14" s="3" t="s">
        <v>199</v>
      </c>
      <c r="F14" s="3" t="s">
        <v>196</v>
      </c>
      <c r="G14" s="3" t="s">
        <v>140</v>
      </c>
      <c r="H14" s="3"/>
      <c r="I14" s="3"/>
      <c r="J14" s="3"/>
      <c r="K14" s="3"/>
    </row>
    <row r="15" customFormat="false" ht="15" hidden="false" customHeight="true" outlineLevel="0" collapsed="false">
      <c r="A15" s="3" t="s">
        <v>123</v>
      </c>
      <c r="B15" s="3" t="s">
        <v>194</v>
      </c>
      <c r="C15" s="3" t="s">
        <v>134</v>
      </c>
      <c r="D15" s="3" t="s">
        <v>200</v>
      </c>
      <c r="E15" s="3" t="s">
        <v>149</v>
      </c>
      <c r="F15" s="3" t="s">
        <v>196</v>
      </c>
      <c r="G15" s="3" t="s">
        <v>134</v>
      </c>
      <c r="H15" s="3"/>
      <c r="I15" s="3"/>
      <c r="J15" s="3"/>
      <c r="K15" s="3"/>
    </row>
    <row r="16" customFormat="false" ht="15" hidden="false" customHeight="true" outlineLevel="0" collapsed="false">
      <c r="A16" s="3" t="s">
        <v>123</v>
      </c>
      <c r="B16" s="3" t="s">
        <v>194</v>
      </c>
      <c r="C16" s="3" t="s">
        <v>138</v>
      </c>
      <c r="D16" s="3" t="s">
        <v>201</v>
      </c>
      <c r="E16" s="3" t="s">
        <v>149</v>
      </c>
      <c r="F16" s="3" t="s">
        <v>196</v>
      </c>
      <c r="G16" s="3" t="s">
        <v>138</v>
      </c>
      <c r="H16" s="3"/>
      <c r="I16" s="3"/>
      <c r="J16" s="3"/>
      <c r="K16" s="3"/>
    </row>
    <row r="17" customFormat="false" ht="15" hidden="false" customHeight="true" outlineLevel="0" collapsed="false">
      <c r="A17" s="3" t="s">
        <v>123</v>
      </c>
      <c r="B17" s="3" t="s">
        <v>194</v>
      </c>
      <c r="C17" s="3" t="s">
        <v>202</v>
      </c>
      <c r="D17" s="3" t="s">
        <v>203</v>
      </c>
      <c r="E17" s="3" t="s">
        <v>204</v>
      </c>
      <c r="F17" s="3" t="s">
        <v>196</v>
      </c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6 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27.24"/>
    <col collapsed="false" customWidth="true" hidden="false" outlineLevel="0" max="4" min="3" style="1" width="20.43"/>
    <col collapsed="false" customWidth="true" hidden="false" outlineLevel="0" max="5" min="5" style="1" width="11.35"/>
    <col collapsed="false" customWidth="true" hidden="false" outlineLevel="0" max="6" min="6" style="1" width="39.73"/>
  </cols>
  <sheetData>
    <row r="1" customFormat="false" ht="15" hidden="false" customHeight="true" outlineLevel="0" collapsed="false">
      <c r="A1" s="9" t="s">
        <v>112</v>
      </c>
      <c r="B1" s="9" t="s">
        <v>170</v>
      </c>
      <c r="C1" s="9" t="s">
        <v>16</v>
      </c>
      <c r="D1" s="9" t="s">
        <v>205</v>
      </c>
      <c r="E1" s="9" t="s">
        <v>206</v>
      </c>
      <c r="F1" s="9" t="s">
        <v>40</v>
      </c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123</v>
      </c>
      <c r="B2" s="3" t="s">
        <v>134</v>
      </c>
      <c r="C2" s="3" t="n">
        <v>0</v>
      </c>
      <c r="D2" s="3" t="n">
        <v>900</v>
      </c>
      <c r="E2" s="14" t="b">
        <f aca="false">TRUE()</f>
        <v>1</v>
      </c>
      <c r="F2" s="3" t="s">
        <v>207</v>
      </c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123</v>
      </c>
      <c r="B3" s="3" t="s">
        <v>138</v>
      </c>
      <c r="C3" s="3" t="n">
        <v>0</v>
      </c>
      <c r="D3" s="3" t="n">
        <v>900</v>
      </c>
      <c r="E3" s="14" t="b">
        <f aca="false">TRUE()</f>
        <v>1</v>
      </c>
      <c r="F3" s="3" t="s">
        <v>207</v>
      </c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123</v>
      </c>
      <c r="B4" s="3" t="s">
        <v>140</v>
      </c>
      <c r="C4" s="3" t="n">
        <v>0</v>
      </c>
      <c r="D4" s="3" t="n">
        <v>900</v>
      </c>
      <c r="E4" s="14" t="b">
        <f aca="false">TRUE()</f>
        <v>1</v>
      </c>
      <c r="F4" s="3" t="s">
        <v>207</v>
      </c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123</v>
      </c>
      <c r="B5" s="3" t="s">
        <v>133</v>
      </c>
      <c r="C5" s="3" t="n">
        <v>0</v>
      </c>
      <c r="D5" s="3" t="n">
        <v>900</v>
      </c>
      <c r="E5" s="14" t="b">
        <f aca="false">TRUE()</f>
        <v>1</v>
      </c>
      <c r="F5" s="3" t="s">
        <v>207</v>
      </c>
      <c r="G5" s="3"/>
      <c r="H5" s="3"/>
      <c r="I5" s="3"/>
      <c r="J5" s="3"/>
      <c r="K5" s="3"/>
    </row>
    <row r="6" customFormat="false" ht="15" hidden="false" customHeight="true" outlineLevel="0" collapsed="false">
      <c r="A6" s="3" t="s">
        <v>123</v>
      </c>
      <c r="B6" s="3" t="s">
        <v>124</v>
      </c>
      <c r="C6" s="3" t="n">
        <v>0</v>
      </c>
      <c r="D6" s="3" t="n">
        <v>900</v>
      </c>
      <c r="E6" s="14" t="b">
        <f aca="false">TRUE()</f>
        <v>1</v>
      </c>
      <c r="F6" s="3" t="s">
        <v>207</v>
      </c>
      <c r="G6" s="3"/>
      <c r="H6" s="3"/>
      <c r="I6" s="3"/>
      <c r="J6" s="3"/>
      <c r="K6" s="3"/>
    </row>
    <row r="7" customFormat="false" ht="15" hidden="false" customHeight="true" outlineLevel="0" collapsed="false">
      <c r="A7" s="3" t="s">
        <v>123</v>
      </c>
      <c r="B7" s="3" t="s">
        <v>202</v>
      </c>
      <c r="C7" s="3" t="n">
        <v>0</v>
      </c>
      <c r="D7" s="3" t="n">
        <v>900</v>
      </c>
      <c r="E7" s="14" t="b">
        <f aca="false">TRUE()</f>
        <v>1</v>
      </c>
      <c r="F7" s="3" t="s">
        <v>207</v>
      </c>
      <c r="G7" s="3"/>
      <c r="H7" s="3"/>
      <c r="I7" s="3"/>
      <c r="J7" s="3"/>
      <c r="K7" s="3"/>
    </row>
    <row r="8" customFormat="false" ht="15" hidden="false" customHeight="true" outlineLevel="0" collapsed="false">
      <c r="A8" s="3" t="s">
        <v>118</v>
      </c>
      <c r="B8" s="3" t="s">
        <v>208</v>
      </c>
      <c r="C8" s="3" t="n">
        <v>0</v>
      </c>
      <c r="D8" s="3" t="n">
        <v>900</v>
      </c>
      <c r="E8" s="14" t="b">
        <f aca="false">TRUE()</f>
        <v>1</v>
      </c>
      <c r="F8" s="3" t="s">
        <v>207</v>
      </c>
      <c r="G8" s="3"/>
      <c r="H8" s="3"/>
      <c r="I8" s="3"/>
      <c r="J8" s="3"/>
      <c r="K8" s="3"/>
    </row>
    <row r="9" customFormat="false" ht="15" hidden="false" customHeight="true" outlineLevel="0" collapsed="false">
      <c r="A9" s="3" t="s">
        <v>118</v>
      </c>
      <c r="B9" s="3" t="s">
        <v>209</v>
      </c>
      <c r="C9" s="3" t="n">
        <v>0</v>
      </c>
      <c r="D9" s="3" t="n">
        <v>900</v>
      </c>
      <c r="E9" s="14" t="b">
        <f aca="false">TRUE()</f>
        <v>1</v>
      </c>
      <c r="F9" s="3" t="s">
        <v>207</v>
      </c>
      <c r="G9" s="3"/>
      <c r="H9" s="3"/>
      <c r="I9" s="3"/>
      <c r="J9" s="3"/>
      <c r="K9" s="3"/>
    </row>
    <row r="10" customFormat="false" ht="15" hidden="false" customHeight="true" outlineLevel="0" collapsed="false">
      <c r="A10" s="3" t="s">
        <v>118</v>
      </c>
      <c r="B10" s="3" t="s">
        <v>152</v>
      </c>
      <c r="C10" s="3" t="n">
        <v>0</v>
      </c>
      <c r="D10" s="3" t="n">
        <v>900</v>
      </c>
      <c r="E10" s="14" t="b">
        <f aca="false">TRUE()</f>
        <v>1</v>
      </c>
      <c r="F10" s="3" t="s">
        <v>207</v>
      </c>
      <c r="G10" s="3"/>
      <c r="H10" s="3"/>
      <c r="I10" s="3"/>
      <c r="J10" s="3"/>
      <c r="K10" s="3"/>
    </row>
    <row r="11" customFormat="false" ht="15" hidden="false" customHeight="true" outlineLevel="0" collapsed="false">
      <c r="A11" s="3" t="s">
        <v>118</v>
      </c>
      <c r="B11" s="3" t="s">
        <v>155</v>
      </c>
      <c r="C11" s="3" t="n">
        <v>0</v>
      </c>
      <c r="D11" s="3" t="n">
        <v>900</v>
      </c>
      <c r="E11" s="14" t="b">
        <f aca="false">TRUE()</f>
        <v>1</v>
      </c>
      <c r="F11" s="3" t="s">
        <v>207</v>
      </c>
      <c r="G11" s="3"/>
      <c r="H11" s="3"/>
      <c r="I11" s="3"/>
      <c r="J11" s="3"/>
      <c r="K11" s="3"/>
    </row>
    <row r="12" customFormat="false" ht="15" hidden="false" customHeight="true" outlineLevel="0" collapsed="false">
      <c r="A12" s="3" t="s">
        <v>118</v>
      </c>
      <c r="B12" s="3" t="s">
        <v>157</v>
      </c>
      <c r="C12" s="3" t="n">
        <v>0</v>
      </c>
      <c r="D12" s="3" t="n">
        <v>900</v>
      </c>
      <c r="E12" s="14" t="b">
        <f aca="false">TRUE()</f>
        <v>1</v>
      </c>
      <c r="F12" s="3" t="s">
        <v>207</v>
      </c>
      <c r="G12" s="3"/>
      <c r="H12" s="3"/>
      <c r="I12" s="3"/>
      <c r="J12" s="3"/>
      <c r="K12" s="3"/>
    </row>
    <row r="13" customFormat="false" ht="15" hidden="false" customHeight="true" outlineLevel="0" collapsed="false">
      <c r="A13" s="3" t="s">
        <v>118</v>
      </c>
      <c r="B13" s="3" t="s">
        <v>160</v>
      </c>
      <c r="C13" s="3" t="n">
        <v>0</v>
      </c>
      <c r="D13" s="3" t="n">
        <v>900</v>
      </c>
      <c r="E13" s="14" t="b">
        <f aca="false">TRUE()</f>
        <v>1</v>
      </c>
      <c r="F13" s="3" t="s">
        <v>207</v>
      </c>
      <c r="G13" s="3"/>
      <c r="H13" s="3"/>
      <c r="I13" s="3"/>
      <c r="J13" s="3"/>
      <c r="K13" s="3"/>
    </row>
    <row r="14" customFormat="false" ht="15" hidden="false" customHeight="true" outlineLevel="0" collapsed="false">
      <c r="A14" s="3" t="s">
        <v>118</v>
      </c>
      <c r="B14" s="3" t="s">
        <v>163</v>
      </c>
      <c r="C14" s="3" t="n">
        <v>0</v>
      </c>
      <c r="D14" s="3" t="n">
        <v>900</v>
      </c>
      <c r="E14" s="14" t="b">
        <f aca="false">TRUE()</f>
        <v>1</v>
      </c>
      <c r="F14" s="3" t="s">
        <v>207</v>
      </c>
      <c r="G14" s="3"/>
      <c r="H14" s="3"/>
      <c r="I14" s="3"/>
      <c r="J14" s="3"/>
      <c r="K14" s="3"/>
    </row>
    <row r="15" customFormat="false" ht="15" hidden="false" customHeight="true" outlineLevel="0" collapsed="false">
      <c r="A15" s="3" t="s">
        <v>118</v>
      </c>
      <c r="B15" s="3" t="s">
        <v>165</v>
      </c>
      <c r="C15" s="3" t="n">
        <v>0</v>
      </c>
      <c r="D15" s="3" t="n">
        <v>900</v>
      </c>
      <c r="E15" s="14" t="b">
        <f aca="false">TRUE()</f>
        <v>1</v>
      </c>
      <c r="F15" s="3" t="s">
        <v>207</v>
      </c>
      <c r="G15" s="3"/>
      <c r="H15" s="3"/>
      <c r="I15" s="3"/>
      <c r="J15" s="3"/>
      <c r="K15" s="3"/>
    </row>
    <row r="16" customFormat="false" ht="15" hidden="false" customHeight="true" outlineLevel="0" collapsed="false">
      <c r="A16" s="3" t="s">
        <v>118</v>
      </c>
      <c r="B16" s="3" t="s">
        <v>167</v>
      </c>
      <c r="C16" s="3" t="n">
        <v>0</v>
      </c>
      <c r="D16" s="3" t="n">
        <v>900</v>
      </c>
      <c r="E16" s="14" t="b">
        <f aca="false">TRUE()</f>
        <v>1</v>
      </c>
      <c r="F16" s="3" t="s">
        <v>207</v>
      </c>
      <c r="G16" s="3"/>
      <c r="H16" s="3"/>
      <c r="I16" s="3"/>
      <c r="J16" s="3"/>
      <c r="K16" s="3"/>
    </row>
    <row r="17" customFormat="false" ht="15" hidden="false" customHeight="true" outlineLevel="0" collapsed="false">
      <c r="A17" s="3" t="s">
        <v>118</v>
      </c>
      <c r="B17" s="3" t="s">
        <v>128</v>
      </c>
      <c r="C17" s="3" t="n">
        <v>0</v>
      </c>
      <c r="D17" s="3" t="n">
        <v>900</v>
      </c>
      <c r="E17" s="14" t="b">
        <f aca="false">TRUE()</f>
        <v>1</v>
      </c>
      <c r="F17" s="3" t="s">
        <v>207</v>
      </c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dataValidations count="1">
    <dataValidation allowBlank="false" errorStyle="stop" operator="between" showDropDown="false" showErrorMessage="false" showInputMessage="false" sqref="E2:E200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6 A1"/>
    </sheetView>
  </sheetViews>
  <sheetFormatPr defaultColWidth="9.7578125" defaultRowHeight="15" zeroHeight="false" outlineLevelRow="0" outlineLevelCol="0"/>
  <cols>
    <col collapsed="false" customWidth="true" hidden="false" outlineLevel="0" max="4" min="1" style="1" width="20.43"/>
    <col collapsed="false" customWidth="true" hidden="false" outlineLevel="0" max="5" min="5" style="1" width="15.89"/>
  </cols>
  <sheetData>
    <row r="1" customFormat="false" ht="15" hidden="false" customHeight="true" outlineLevel="0" collapsed="false">
      <c r="A1" s="9" t="s">
        <v>210</v>
      </c>
      <c r="B1" s="9" t="s">
        <v>211</v>
      </c>
      <c r="C1" s="9" t="s">
        <v>212</v>
      </c>
      <c r="D1" s="9" t="s">
        <v>213</v>
      </c>
      <c r="E1" s="9" t="s">
        <v>214</v>
      </c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 t="s">
        <v>215</v>
      </c>
      <c r="B2" s="3" t="n">
        <v>10</v>
      </c>
      <c r="C2" s="3" t="n">
        <v>12</v>
      </c>
      <c r="D2" s="3" t="n">
        <v>38</v>
      </c>
      <c r="E2" s="15" t="n">
        <f aca="false">D2/SUM($D$2:$D$5)</f>
        <v>0.0422222222222222</v>
      </c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 t="s">
        <v>216</v>
      </c>
      <c r="B3" s="3" t="n">
        <v>12</v>
      </c>
      <c r="C3" s="3" t="n">
        <v>14</v>
      </c>
      <c r="D3" s="3" t="n">
        <v>264</v>
      </c>
      <c r="E3" s="15" t="n">
        <f aca="false">D3/SUM($D$2:$D$5)</f>
        <v>0.293333333333333</v>
      </c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3" t="s">
        <v>217</v>
      </c>
      <c r="B4" s="3" t="n">
        <v>14</v>
      </c>
      <c r="C4" s="3" t="n">
        <v>16</v>
      </c>
      <c r="D4" s="3" t="n">
        <v>502</v>
      </c>
      <c r="E4" s="15" t="n">
        <f aca="false">D4/SUM($D$2:$D$5)</f>
        <v>0.557777777777778</v>
      </c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 t="s">
        <v>218</v>
      </c>
      <c r="B5" s="3" t="n">
        <v>16</v>
      </c>
      <c r="C5" s="3" t="n">
        <v>20.0001</v>
      </c>
      <c r="D5" s="3" t="n">
        <v>96</v>
      </c>
      <c r="E5" s="15" t="n">
        <f aca="false">D5/SUM($D$2:$D$5)</f>
        <v>0.106666666666667</v>
      </c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1" sqref="E2:E16 G25"/>
    </sheetView>
  </sheetViews>
  <sheetFormatPr defaultColWidth="9.7578125" defaultRowHeight="15" zeroHeight="false" outlineLevelRow="0" outlineLevelCol="0"/>
  <cols>
    <col collapsed="false" customWidth="true" hidden="false" outlineLevel="0" max="10" min="1" style="1" width="13.62"/>
    <col collapsed="false" customWidth="true" hidden="false" outlineLevel="0" max="11" min="11" style="1" width="20.43"/>
  </cols>
  <sheetData>
    <row r="1" customFormat="false" ht="15" hidden="false" customHeight="true" outlineLevel="0" collapsed="false">
      <c r="A1" s="9" t="s">
        <v>36</v>
      </c>
      <c r="B1" s="9" t="s">
        <v>219</v>
      </c>
      <c r="C1" s="9" t="s">
        <v>220</v>
      </c>
      <c r="D1" s="9" t="s">
        <v>221</v>
      </c>
      <c r="E1" s="9" t="s">
        <v>222</v>
      </c>
      <c r="F1" s="9" t="s">
        <v>223</v>
      </c>
      <c r="G1" s="9" t="s">
        <v>224</v>
      </c>
      <c r="H1" s="9" t="s">
        <v>225</v>
      </c>
      <c r="I1" s="9" t="s">
        <v>226</v>
      </c>
      <c r="J1" s="9" t="s">
        <v>227</v>
      </c>
      <c r="K1" s="9" t="s">
        <v>228</v>
      </c>
    </row>
    <row r="2" customFormat="false" ht="15" hidden="false" customHeight="true" outlineLevel="0" collapsed="false">
      <c r="A2" s="3" t="s">
        <v>41</v>
      </c>
      <c r="B2" s="3" t="n">
        <v>6144</v>
      </c>
      <c r="C2" s="3" t="n">
        <v>5722</v>
      </c>
      <c r="D2" s="3" t="n">
        <v>11866</v>
      </c>
      <c r="E2" s="3" t="n">
        <v>5944</v>
      </c>
      <c r="F2" s="3" t="n">
        <v>5476</v>
      </c>
      <c r="G2" s="3" t="n">
        <v>11420</v>
      </c>
      <c r="H2" s="3" t="n">
        <v>3615</v>
      </c>
      <c r="I2" s="3" t="n">
        <v>2927</v>
      </c>
      <c r="J2" s="3" t="n">
        <v>6542</v>
      </c>
      <c r="K2" s="15" t="n">
        <v>0.5729</v>
      </c>
    </row>
    <row r="3" customFormat="false" ht="15" hidden="false" customHeight="true" outlineLevel="0" collapsed="false">
      <c r="A3" s="3" t="s">
        <v>52</v>
      </c>
      <c r="B3" s="3" t="n">
        <v>87814</v>
      </c>
      <c r="C3" s="3" t="n">
        <v>65330</v>
      </c>
      <c r="D3" s="3" t="n">
        <v>153144</v>
      </c>
      <c r="E3" s="3" t="n">
        <v>84735</v>
      </c>
      <c r="F3" s="3" t="n">
        <v>62345</v>
      </c>
      <c r="G3" s="3" t="n">
        <v>147080</v>
      </c>
      <c r="H3" s="3" t="n">
        <v>32906</v>
      </c>
      <c r="I3" s="3" t="n">
        <v>24808</v>
      </c>
      <c r="J3" s="3" t="n">
        <v>57714</v>
      </c>
      <c r="K3" s="15" t="n">
        <v>0.3924</v>
      </c>
    </row>
    <row r="4" customFormat="false" ht="15" hidden="false" customHeight="true" outlineLevel="0" collapsed="false">
      <c r="A4" s="3" t="s">
        <v>54</v>
      </c>
      <c r="B4" s="3" t="n">
        <v>2642</v>
      </c>
      <c r="C4" s="3" t="n">
        <v>2541</v>
      </c>
      <c r="D4" s="3" t="n">
        <v>5183</v>
      </c>
      <c r="E4" s="3" t="n">
        <v>2573</v>
      </c>
      <c r="F4" s="3" t="n">
        <v>2470</v>
      </c>
      <c r="G4" s="3" t="n">
        <v>5043</v>
      </c>
      <c r="H4" s="3" t="n">
        <v>811</v>
      </c>
      <c r="I4" s="3" t="n">
        <v>849</v>
      </c>
      <c r="J4" s="3" t="n">
        <v>1660</v>
      </c>
      <c r="K4" s="15" t="n">
        <v>0.3292</v>
      </c>
    </row>
    <row r="5" customFormat="false" ht="15" hidden="false" customHeight="true" outlineLevel="0" collapsed="false">
      <c r="A5" s="3" t="s">
        <v>58</v>
      </c>
      <c r="B5" s="3" t="n">
        <v>936</v>
      </c>
      <c r="C5" s="3" t="n">
        <v>1863</v>
      </c>
      <c r="D5" s="3" t="n">
        <v>2799</v>
      </c>
      <c r="E5" s="3" t="n">
        <v>931</v>
      </c>
      <c r="F5" s="3" t="n">
        <v>1850</v>
      </c>
      <c r="G5" s="3" t="n">
        <v>2781</v>
      </c>
      <c r="H5" s="3" t="n">
        <v>791</v>
      </c>
      <c r="I5" s="3" t="n">
        <v>1502</v>
      </c>
      <c r="J5" s="3" t="n">
        <v>2293</v>
      </c>
      <c r="K5" s="15" t="n">
        <v>0.8245</v>
      </c>
    </row>
    <row r="6" customFormat="false" ht="15" hidden="false" customHeight="true" outlineLevel="0" collapsed="false">
      <c r="A6" s="3" t="s">
        <v>61</v>
      </c>
      <c r="B6" s="3" t="n">
        <v>59761</v>
      </c>
      <c r="C6" s="3" t="n">
        <v>84379</v>
      </c>
      <c r="D6" s="3" t="n">
        <v>144140</v>
      </c>
      <c r="E6" s="3" t="n">
        <v>58656</v>
      </c>
      <c r="F6" s="3" t="n">
        <v>81831</v>
      </c>
      <c r="G6" s="3" t="n">
        <v>140487</v>
      </c>
      <c r="H6" s="3" t="n">
        <v>23324</v>
      </c>
      <c r="I6" s="3" t="n">
        <v>29558</v>
      </c>
      <c r="J6" s="3" t="n">
        <v>52882</v>
      </c>
      <c r="K6" s="15" t="n">
        <v>0.3764</v>
      </c>
    </row>
    <row r="7" customFormat="false" ht="15" hidden="false" customHeight="true" outlineLevel="0" collapsed="false">
      <c r="A7" s="3" t="s">
        <v>62</v>
      </c>
      <c r="B7" s="3" t="n">
        <v>14</v>
      </c>
      <c r="C7" s="3" t="n">
        <v>36</v>
      </c>
      <c r="D7" s="3" t="n">
        <v>50</v>
      </c>
      <c r="E7" s="3" t="n">
        <v>14</v>
      </c>
      <c r="F7" s="3" t="n">
        <v>35</v>
      </c>
      <c r="G7" s="3" t="n">
        <v>49</v>
      </c>
      <c r="H7" s="3" t="n">
        <v>12</v>
      </c>
      <c r="I7" s="3" t="n">
        <v>34</v>
      </c>
      <c r="J7" s="3" t="n">
        <v>46</v>
      </c>
      <c r="K7" s="15" t="n">
        <v>0.9388</v>
      </c>
    </row>
    <row r="8" customFormat="false" ht="15" hidden="false" customHeight="true" outlineLevel="0" collapsed="false">
      <c r="A8" s="3" t="s">
        <v>67</v>
      </c>
      <c r="B8" s="3" t="n">
        <v>19</v>
      </c>
      <c r="C8" s="3" t="n">
        <v>74</v>
      </c>
      <c r="D8" s="3" t="n">
        <v>93</v>
      </c>
      <c r="E8" s="3" t="n">
        <v>19</v>
      </c>
      <c r="F8" s="3" t="n">
        <v>72</v>
      </c>
      <c r="G8" s="3" t="n">
        <v>91</v>
      </c>
      <c r="H8" s="3" t="n">
        <v>15</v>
      </c>
      <c r="I8" s="3" t="n">
        <v>52</v>
      </c>
      <c r="J8" s="3" t="n">
        <v>67</v>
      </c>
      <c r="K8" s="15" t="n">
        <v>0.7363</v>
      </c>
    </row>
    <row r="9" customFormat="false" ht="15" hidden="false" customHeight="true" outlineLevel="0" collapsed="false">
      <c r="A9" s="3" t="s">
        <v>70</v>
      </c>
      <c r="B9" s="3" t="n">
        <v>586</v>
      </c>
      <c r="C9" s="3" t="n">
        <v>2557</v>
      </c>
      <c r="D9" s="3" t="n">
        <v>3143</v>
      </c>
      <c r="E9" s="3" t="n">
        <v>570</v>
      </c>
      <c r="F9" s="3" t="n">
        <v>2465</v>
      </c>
      <c r="G9" s="3" t="n">
        <v>3035</v>
      </c>
      <c r="H9" s="3" t="n">
        <v>194</v>
      </c>
      <c r="I9" s="3" t="n">
        <v>762</v>
      </c>
      <c r="J9" s="3" t="n">
        <v>956</v>
      </c>
      <c r="K9" s="15" t="n">
        <v>0.315</v>
      </c>
    </row>
    <row r="10" customFormat="false" ht="15" hidden="false" customHeight="true" outlineLevel="0" collapsed="false">
      <c r="A10" s="3" t="s">
        <v>71</v>
      </c>
      <c r="B10" s="3" t="n">
        <v>29</v>
      </c>
      <c r="C10" s="3" t="n">
        <v>53</v>
      </c>
      <c r="D10" s="3" t="n">
        <v>82</v>
      </c>
      <c r="E10" s="3" t="n">
        <v>27</v>
      </c>
      <c r="F10" s="3" t="n">
        <v>50</v>
      </c>
      <c r="G10" s="3" t="n">
        <v>77</v>
      </c>
      <c r="H10" s="3" t="n">
        <v>24</v>
      </c>
      <c r="I10" s="3" t="n">
        <v>39</v>
      </c>
      <c r="J10" s="3" t="n">
        <v>63</v>
      </c>
      <c r="K10" s="15" t="n">
        <v>0.8182</v>
      </c>
    </row>
    <row r="11" customFormat="false" ht="15" hidden="false" customHeight="true" outlineLevel="0" collapsed="false">
      <c r="A11" s="3" t="s">
        <v>72</v>
      </c>
      <c r="B11" s="3" t="n">
        <v>39</v>
      </c>
      <c r="C11" s="3" t="n">
        <v>121</v>
      </c>
      <c r="D11" s="3" t="n">
        <v>160</v>
      </c>
      <c r="E11" s="3" t="n">
        <v>38</v>
      </c>
      <c r="F11" s="3" t="n">
        <v>116</v>
      </c>
      <c r="G11" s="3" t="n">
        <v>154</v>
      </c>
      <c r="H11" s="3" t="n">
        <v>32</v>
      </c>
      <c r="I11" s="3" t="n">
        <v>88</v>
      </c>
      <c r="J11" s="3" t="n">
        <v>120</v>
      </c>
      <c r="K11" s="15" t="n">
        <v>0.7792</v>
      </c>
    </row>
    <row r="12" customFormat="false" ht="15" hidden="false" customHeight="true" outlineLevel="0" collapsed="false">
      <c r="A12" s="3" t="s">
        <v>73</v>
      </c>
      <c r="B12" s="3" t="n">
        <v>44</v>
      </c>
      <c r="C12" s="3" t="n">
        <v>59</v>
      </c>
      <c r="D12" s="3" t="n">
        <v>103</v>
      </c>
      <c r="E12" s="3" t="n">
        <v>41</v>
      </c>
      <c r="F12" s="3" t="n">
        <v>57</v>
      </c>
      <c r="G12" s="3" t="n">
        <v>98</v>
      </c>
      <c r="H12" s="3" t="n">
        <v>34</v>
      </c>
      <c r="I12" s="3" t="n">
        <v>49</v>
      </c>
      <c r="J12" s="3" t="n">
        <v>83</v>
      </c>
      <c r="K12" s="15" t="n">
        <v>0.8469</v>
      </c>
    </row>
    <row r="13" customFormat="false" ht="15" hidden="false" customHeight="true" outlineLevel="0" collapsed="false">
      <c r="A13" s="3" t="s">
        <v>229</v>
      </c>
      <c r="B13" s="3" t="n">
        <v>5662</v>
      </c>
      <c r="C13" s="3" t="n">
        <v>740</v>
      </c>
      <c r="D13" s="3" t="n">
        <v>6402</v>
      </c>
      <c r="E13" s="3" t="n">
        <v>5497</v>
      </c>
      <c r="F13" s="3" t="n">
        <v>703</v>
      </c>
      <c r="G13" s="3" t="n">
        <v>6200</v>
      </c>
      <c r="H13" s="3" t="n">
        <v>2830</v>
      </c>
      <c r="I13" s="3" t="n">
        <v>317</v>
      </c>
      <c r="J13" s="3" t="n">
        <v>3147</v>
      </c>
      <c r="K13" s="15" t="n">
        <v>0.5076</v>
      </c>
    </row>
    <row r="14" customFormat="false" ht="15" hidden="false" customHeight="true" outlineLevel="0" collapsed="false">
      <c r="A14" s="3" t="s">
        <v>76</v>
      </c>
      <c r="B14" s="3" t="n">
        <v>8024</v>
      </c>
      <c r="C14" s="3" t="n">
        <v>8099</v>
      </c>
      <c r="D14" s="3" t="n">
        <v>16123</v>
      </c>
      <c r="E14" s="3" t="n">
        <v>7742</v>
      </c>
      <c r="F14" s="3" t="n">
        <v>7789</v>
      </c>
      <c r="G14" s="3" t="n">
        <v>15531</v>
      </c>
      <c r="H14" s="3" t="n">
        <v>4061</v>
      </c>
      <c r="I14" s="3" t="n">
        <v>3431</v>
      </c>
      <c r="J14" s="3" t="n">
        <v>7492</v>
      </c>
      <c r="K14" s="15" t="n">
        <v>0.4824</v>
      </c>
    </row>
    <row r="15" customFormat="false" ht="15" hidden="false" customHeight="true" outlineLevel="0" collapsed="false">
      <c r="A15" s="3" t="s">
        <v>230</v>
      </c>
      <c r="B15" s="3" t="n">
        <v>31</v>
      </c>
      <c r="C15" s="3" t="n">
        <v>40</v>
      </c>
      <c r="D15" s="3" t="n">
        <v>71</v>
      </c>
      <c r="E15" s="3" t="n">
        <v>31</v>
      </c>
      <c r="F15" s="3" t="n">
        <v>40</v>
      </c>
      <c r="G15" s="3" t="n">
        <v>71</v>
      </c>
      <c r="H15" s="3" t="n">
        <v>31</v>
      </c>
      <c r="I15" s="3" t="n">
        <v>40</v>
      </c>
      <c r="J15" s="3" t="n">
        <v>71</v>
      </c>
      <c r="K15" s="15" t="n">
        <v>1</v>
      </c>
    </row>
    <row r="16" customFormat="false" ht="15" hidden="false" customHeight="true" outlineLevel="0" collapsed="false">
      <c r="A16" s="3" t="s">
        <v>231</v>
      </c>
      <c r="B16" s="3" t="n">
        <v>21</v>
      </c>
      <c r="C16" s="3" t="n">
        <v>58</v>
      </c>
      <c r="D16" s="3" t="n">
        <v>79</v>
      </c>
      <c r="E16" s="3" t="n">
        <v>20</v>
      </c>
      <c r="F16" s="3" t="n">
        <v>55</v>
      </c>
      <c r="G16" s="3" t="n">
        <v>75</v>
      </c>
      <c r="H16" s="3" t="n">
        <v>18</v>
      </c>
      <c r="I16" s="3" t="n">
        <v>48</v>
      </c>
      <c r="J16" s="3" t="n">
        <v>66</v>
      </c>
      <c r="K16" s="15" t="n">
        <v>0.88</v>
      </c>
    </row>
    <row r="17" customFormat="false" ht="15" hidden="false" customHeight="true" outlineLevel="0" collapsed="false">
      <c r="A17" s="3" t="s">
        <v>232</v>
      </c>
      <c r="B17" s="3" t="n">
        <v>206</v>
      </c>
      <c r="C17" s="3" t="n">
        <v>148</v>
      </c>
      <c r="D17" s="3" t="n">
        <v>354</v>
      </c>
      <c r="E17" s="3" t="n">
        <v>190</v>
      </c>
      <c r="F17" s="3" t="n">
        <v>133</v>
      </c>
      <c r="G17" s="3" t="n">
        <v>323</v>
      </c>
      <c r="H17" s="3" t="n">
        <v>185</v>
      </c>
      <c r="I17" s="3" t="n">
        <v>131</v>
      </c>
      <c r="J17" s="3" t="n">
        <v>316</v>
      </c>
      <c r="K17" s="15" t="n">
        <v>0.9783</v>
      </c>
    </row>
    <row r="18" customFormat="false" ht="15" hidden="false" customHeight="true" outlineLevel="0" collapsed="false">
      <c r="A18" s="1" t="s">
        <v>82</v>
      </c>
      <c r="B18" s="3"/>
      <c r="C18" s="3"/>
      <c r="D18" s="3" t="n">
        <v>5666</v>
      </c>
      <c r="E18" s="3"/>
      <c r="F18" s="3"/>
      <c r="G18" s="3" t="n">
        <v>5666</v>
      </c>
      <c r="H18" s="3"/>
      <c r="I18" s="3"/>
      <c r="J18" s="8" t="n">
        <v>4917</v>
      </c>
      <c r="K18" s="15" t="n">
        <f aca="false">ROUND(J18/G18,2)</f>
        <v>0.87</v>
      </c>
    </row>
    <row r="19" customFormat="false" ht="15" hidden="false" customHeight="true" outlineLevel="0" collapsed="false">
      <c r="A19" s="1" t="s">
        <v>90</v>
      </c>
      <c r="B19" s="3"/>
      <c r="C19" s="3"/>
      <c r="D19" s="3" t="n">
        <v>2499.6</v>
      </c>
      <c r="E19" s="3"/>
      <c r="F19" s="3"/>
      <c r="G19" s="3" t="n">
        <v>2499.6</v>
      </c>
      <c r="H19" s="3"/>
      <c r="I19" s="3"/>
      <c r="J19" s="8" t="n">
        <v>2136.8</v>
      </c>
      <c r="K19" s="15" t="n">
        <f aca="false">ROUND(J19/G19,2)</f>
        <v>0.85</v>
      </c>
    </row>
    <row r="20" customFormat="false" ht="15" hidden="false" customHeight="true" outlineLevel="0" collapsed="false">
      <c r="A20" s="1" t="s">
        <v>95</v>
      </c>
      <c r="B20" s="3"/>
      <c r="C20" s="3"/>
      <c r="D20" s="3" t="n">
        <v>2499.6</v>
      </c>
      <c r="E20" s="3"/>
      <c r="F20" s="3"/>
      <c r="G20" s="3" t="n">
        <v>2499.6</v>
      </c>
      <c r="H20" s="3"/>
      <c r="I20" s="3"/>
      <c r="J20" s="8" t="n">
        <v>2136.8</v>
      </c>
      <c r="K20" s="15" t="n">
        <f aca="false">ROUND(J20/G20,2)</f>
        <v>0.85</v>
      </c>
    </row>
    <row r="21" customFormat="false" ht="15" hidden="false" customHeight="true" outlineLevel="0" collapsed="false">
      <c r="A21" s="1" t="s">
        <v>99</v>
      </c>
      <c r="B21" s="3"/>
      <c r="C21" s="3"/>
      <c r="D21" s="3" t="n">
        <v>2499.6</v>
      </c>
      <c r="E21" s="3"/>
      <c r="F21" s="3"/>
      <c r="G21" s="3" t="n">
        <v>2499.6</v>
      </c>
      <c r="H21" s="3"/>
      <c r="I21" s="3"/>
      <c r="J21" s="8" t="n">
        <v>2136.8</v>
      </c>
      <c r="K21" s="15" t="n">
        <f aca="false">ROUND(J21/G21,2)</f>
        <v>0.85</v>
      </c>
    </row>
    <row r="22" customFormat="false" ht="15" hidden="false" customHeight="true" outlineLevel="0" collapsed="false">
      <c r="A22" s="1" t="s">
        <v>103</v>
      </c>
      <c r="B22" s="3"/>
      <c r="C22" s="3"/>
      <c r="D22" s="3" t="n">
        <v>2499.6</v>
      </c>
      <c r="E22" s="3"/>
      <c r="F22" s="3"/>
      <c r="G22" s="3" t="n">
        <v>2499.6</v>
      </c>
      <c r="H22" s="3"/>
      <c r="I22" s="3"/>
      <c r="J22" s="8" t="n">
        <v>2136.8</v>
      </c>
      <c r="K22" s="15" t="n">
        <f aca="false">ROUND(J22/G22,2)</f>
        <v>0.85</v>
      </c>
    </row>
    <row r="23" customFormat="false" ht="15" hidden="false" customHeight="true" outlineLevel="0" collapsed="false">
      <c r="A23" s="1" t="s">
        <v>104</v>
      </c>
      <c r="B23" s="3"/>
      <c r="C23" s="3"/>
      <c r="D23" s="3" t="n">
        <v>5666</v>
      </c>
      <c r="E23" s="3"/>
      <c r="F23" s="3"/>
      <c r="G23" s="3" t="n">
        <v>5666</v>
      </c>
      <c r="H23" s="3"/>
      <c r="I23" s="3"/>
      <c r="J23" s="8" t="n">
        <v>4917</v>
      </c>
      <c r="K23" s="15" t="n">
        <f aca="false">ROUND(J23/G23,2)</f>
        <v>0.87</v>
      </c>
    </row>
    <row r="24" customFormat="false" ht="15" hidden="false" customHeight="true" outlineLevel="0" collapsed="false">
      <c r="A24" s="1" t="s">
        <v>105</v>
      </c>
      <c r="B24" s="3"/>
      <c r="C24" s="3"/>
      <c r="D24" s="3" t="n">
        <v>2499.6</v>
      </c>
      <c r="E24" s="3"/>
      <c r="F24" s="3"/>
      <c r="G24" s="3" t="n">
        <v>2499.6</v>
      </c>
      <c r="H24" s="3"/>
      <c r="I24" s="3"/>
      <c r="J24" s="8" t="n">
        <v>2136.8</v>
      </c>
      <c r="K24" s="15" t="n">
        <f aca="false">ROUND(J24/G24,2)</f>
        <v>0.85</v>
      </c>
    </row>
    <row r="25" customFormat="false" ht="15" hidden="false" customHeight="true" outlineLevel="0" collapsed="false">
      <c r="A25" s="3" t="s">
        <v>233</v>
      </c>
      <c r="B25" s="3" t="n">
        <f aca="false">SUM(B2:B24)</f>
        <v>171972</v>
      </c>
      <c r="C25" s="3" t="n">
        <f aca="false">SUM(C2:C24)</f>
        <v>171820</v>
      </c>
      <c r="D25" s="3" t="n">
        <f aca="false">SUM(D2:D24)</f>
        <v>367622</v>
      </c>
      <c r="E25" s="3" t="n">
        <f aca="false">SUM(E2:E24)</f>
        <v>167028</v>
      </c>
      <c r="F25" s="3" t="n">
        <f aca="false">SUM(F2:F24)</f>
        <v>165487</v>
      </c>
      <c r="G25" s="3" t="n">
        <f aca="false">SUM(G2:G24)</f>
        <v>356345</v>
      </c>
      <c r="H25" s="3" t="n">
        <f aca="false">SUM(H2:H24)</f>
        <v>68883</v>
      </c>
      <c r="I25" s="3" t="n">
        <f aca="false">SUM(I2:I24)</f>
        <v>64635</v>
      </c>
      <c r="J25" s="3" t="n">
        <f aca="false">SUM(J2:J24)</f>
        <v>154036</v>
      </c>
      <c r="K25" s="15" t="n">
        <f aca="false">ROUND(J25/G25,2)</f>
        <v>0.43</v>
      </c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C109" activeCellId="1" sqref="E2:E16 C109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9.33"/>
    <col collapsed="false" customWidth="true" hidden="false" outlineLevel="0" max="2" min="2" style="8" width="34"/>
    <col collapsed="false" customWidth="true" hidden="false" outlineLevel="0" max="3" min="3" style="8" width="18"/>
    <col collapsed="false" customWidth="true" hidden="false" outlineLevel="0" max="4" min="4" style="8" width="12"/>
    <col collapsed="false" customWidth="true" hidden="false" outlineLevel="0" max="5" min="5" style="8" width="38"/>
    <col collapsed="false" customWidth="true" hidden="false" outlineLevel="0" max="6" min="6" style="8" width="30"/>
  </cols>
  <sheetData>
    <row r="1" customFormat="false" ht="15" hidden="false" customHeight="false" outlineLevel="0" collapsed="false">
      <c r="A1" s="16" t="s">
        <v>36</v>
      </c>
      <c r="B1" s="16" t="s">
        <v>234</v>
      </c>
      <c r="C1" s="16" t="s">
        <v>235</v>
      </c>
      <c r="D1" s="16" t="s">
        <v>236</v>
      </c>
      <c r="E1" s="16" t="s">
        <v>39</v>
      </c>
      <c r="F1" s="16" t="s">
        <v>40</v>
      </c>
    </row>
    <row r="2" customFormat="false" ht="15" hidden="false" customHeight="false" outlineLevel="0" collapsed="false">
      <c r="A2" s="17" t="s">
        <v>41</v>
      </c>
      <c r="B2" s="17" t="s">
        <v>42</v>
      </c>
      <c r="C2" s="17" t="s">
        <v>42</v>
      </c>
      <c r="D2" s="18" t="n">
        <v>5</v>
      </c>
      <c r="E2" s="17" t="s">
        <v>43</v>
      </c>
      <c r="F2" s="17"/>
    </row>
    <row r="3" customFormat="false" ht="15" hidden="false" customHeight="false" outlineLevel="0" collapsed="false">
      <c r="A3" s="17" t="s">
        <v>41</v>
      </c>
      <c r="B3" s="17" t="s">
        <v>44</v>
      </c>
      <c r="C3" s="17" t="s">
        <v>44</v>
      </c>
      <c r="D3" s="18" t="n">
        <v>4</v>
      </c>
      <c r="E3" s="17" t="s">
        <v>43</v>
      </c>
      <c r="F3" s="17" t="s">
        <v>45</v>
      </c>
    </row>
    <row r="4" customFormat="false" ht="15" hidden="false" customHeight="false" outlineLevel="0" collapsed="false">
      <c r="A4" s="17" t="s">
        <v>41</v>
      </c>
      <c r="B4" s="17" t="s">
        <v>46</v>
      </c>
      <c r="C4" s="17" t="s">
        <v>46</v>
      </c>
      <c r="D4" s="18" t="n">
        <v>3</v>
      </c>
      <c r="E4" s="17" t="s">
        <v>43</v>
      </c>
      <c r="F4" s="17"/>
    </row>
    <row r="5" customFormat="false" ht="15" hidden="false" customHeight="false" outlineLevel="0" collapsed="false">
      <c r="A5" s="17" t="s">
        <v>41</v>
      </c>
      <c r="B5" s="17" t="s">
        <v>47</v>
      </c>
      <c r="C5" s="17" t="s">
        <v>47</v>
      </c>
      <c r="D5" s="18" t="n">
        <v>3</v>
      </c>
      <c r="E5" s="17" t="s">
        <v>43</v>
      </c>
      <c r="F5" s="17"/>
    </row>
    <row r="6" customFormat="false" ht="15" hidden="false" customHeight="false" outlineLevel="0" collapsed="false">
      <c r="A6" s="17" t="s">
        <v>41</v>
      </c>
      <c r="B6" s="17" t="s">
        <v>48</v>
      </c>
      <c r="C6" s="17" t="s">
        <v>65</v>
      </c>
      <c r="D6" s="18" t="n">
        <v>4</v>
      </c>
      <c r="E6" s="17" t="s">
        <v>43</v>
      </c>
      <c r="F6" s="17" t="s">
        <v>49</v>
      </c>
    </row>
    <row r="7" customFormat="false" ht="15" hidden="false" customHeight="false" outlineLevel="0" collapsed="false">
      <c r="A7" s="17" t="s">
        <v>41</v>
      </c>
      <c r="B7" s="17" t="s">
        <v>50</v>
      </c>
      <c r="C7" s="17" t="s">
        <v>50</v>
      </c>
      <c r="D7" s="18" t="n">
        <v>1</v>
      </c>
      <c r="E7" s="17" t="s">
        <v>43</v>
      </c>
      <c r="F7" s="17" t="s">
        <v>51</v>
      </c>
    </row>
    <row r="8" customFormat="false" ht="15" hidden="false" customHeight="false" outlineLevel="0" collapsed="false">
      <c r="A8" s="17" t="s">
        <v>52</v>
      </c>
      <c r="B8" s="17" t="s">
        <v>42</v>
      </c>
      <c r="C8" s="17" t="s">
        <v>42</v>
      </c>
      <c r="D8" s="18" t="n">
        <v>5</v>
      </c>
      <c r="E8" s="17" t="s">
        <v>43</v>
      </c>
      <c r="F8" s="17"/>
    </row>
    <row r="9" customFormat="false" ht="15" hidden="false" customHeight="false" outlineLevel="0" collapsed="false">
      <c r="A9" s="17" t="s">
        <v>52</v>
      </c>
      <c r="B9" s="17" t="s">
        <v>44</v>
      </c>
      <c r="C9" s="17" t="s">
        <v>44</v>
      </c>
      <c r="D9" s="18" t="n">
        <v>4</v>
      </c>
      <c r="E9" s="17" t="s">
        <v>43</v>
      </c>
      <c r="F9" s="17" t="s">
        <v>45</v>
      </c>
    </row>
    <row r="10" customFormat="false" ht="15" hidden="false" customHeight="false" outlineLevel="0" collapsed="false">
      <c r="A10" s="17" t="s">
        <v>52</v>
      </c>
      <c r="B10" s="17" t="s">
        <v>48</v>
      </c>
      <c r="C10" s="17" t="s">
        <v>65</v>
      </c>
      <c r="D10" s="18" t="n">
        <v>3</v>
      </c>
      <c r="E10" s="17" t="s">
        <v>43</v>
      </c>
      <c r="F10" s="17" t="s">
        <v>53</v>
      </c>
    </row>
    <row r="11" customFormat="false" ht="15" hidden="false" customHeight="false" outlineLevel="0" collapsed="false">
      <c r="A11" s="17" t="s">
        <v>52</v>
      </c>
      <c r="B11" s="17" t="s">
        <v>47</v>
      </c>
      <c r="C11" s="17" t="s">
        <v>47</v>
      </c>
      <c r="D11" s="18" t="n">
        <v>3</v>
      </c>
      <c r="E11" s="17" t="s">
        <v>43</v>
      </c>
      <c r="F11" s="17"/>
    </row>
    <row r="12" customFormat="false" ht="15" hidden="false" customHeight="false" outlineLevel="0" collapsed="false">
      <c r="A12" s="17" t="s">
        <v>52</v>
      </c>
      <c r="B12" s="17" t="s">
        <v>50</v>
      </c>
      <c r="C12" s="17" t="s">
        <v>50</v>
      </c>
      <c r="D12" s="18" t="n">
        <v>3</v>
      </c>
      <c r="E12" s="17" t="s">
        <v>43</v>
      </c>
      <c r="F12" s="17" t="s">
        <v>53</v>
      </c>
    </row>
    <row r="13" customFormat="false" ht="15" hidden="false" customHeight="false" outlineLevel="0" collapsed="false">
      <c r="A13" s="17" t="s">
        <v>52</v>
      </c>
      <c r="B13" s="17" t="s">
        <v>46</v>
      </c>
      <c r="C13" s="17" t="s">
        <v>46</v>
      </c>
      <c r="D13" s="18" t="n">
        <v>2</v>
      </c>
      <c r="E13" s="17" t="s">
        <v>43</v>
      </c>
      <c r="F13" s="17"/>
    </row>
    <row r="14" customFormat="false" ht="15" hidden="false" customHeight="false" outlineLevel="0" collapsed="false">
      <c r="A14" s="17" t="s">
        <v>54</v>
      </c>
      <c r="B14" s="17" t="s">
        <v>55</v>
      </c>
      <c r="C14" s="17" t="s">
        <v>55</v>
      </c>
      <c r="D14" s="18" t="n">
        <v>4</v>
      </c>
      <c r="E14" s="17" t="s">
        <v>43</v>
      </c>
      <c r="F14" s="17" t="s">
        <v>56</v>
      </c>
    </row>
    <row r="15" customFormat="false" ht="15" hidden="false" customHeight="false" outlineLevel="0" collapsed="false">
      <c r="A15" s="17" t="s">
        <v>54</v>
      </c>
      <c r="B15" s="17" t="s">
        <v>46</v>
      </c>
      <c r="C15" s="17" t="s">
        <v>46</v>
      </c>
      <c r="D15" s="18" t="n">
        <v>4</v>
      </c>
      <c r="E15" s="17" t="s">
        <v>43</v>
      </c>
      <c r="F15" s="17"/>
    </row>
    <row r="16" customFormat="false" ht="15" hidden="false" customHeight="false" outlineLevel="0" collapsed="false">
      <c r="A16" s="17" t="s">
        <v>54</v>
      </c>
      <c r="B16" s="17" t="s">
        <v>44</v>
      </c>
      <c r="C16" s="17" t="s">
        <v>44</v>
      </c>
      <c r="D16" s="18" t="n">
        <v>4</v>
      </c>
      <c r="E16" s="17" t="s">
        <v>43</v>
      </c>
      <c r="F16" s="17" t="s">
        <v>45</v>
      </c>
    </row>
    <row r="17" customFormat="false" ht="15" hidden="false" customHeight="false" outlineLevel="0" collapsed="false">
      <c r="A17" s="17" t="s">
        <v>54</v>
      </c>
      <c r="B17" s="17" t="s">
        <v>42</v>
      </c>
      <c r="C17" s="17" t="s">
        <v>42</v>
      </c>
      <c r="D17" s="18" t="n">
        <v>2</v>
      </c>
      <c r="E17" s="17" t="s">
        <v>43</v>
      </c>
      <c r="F17" s="17"/>
    </row>
    <row r="18" customFormat="false" ht="15" hidden="false" customHeight="false" outlineLevel="0" collapsed="false">
      <c r="A18" s="17" t="s">
        <v>54</v>
      </c>
      <c r="B18" s="17" t="s">
        <v>57</v>
      </c>
      <c r="C18" s="17" t="s">
        <v>65</v>
      </c>
      <c r="D18" s="18" t="n">
        <v>3</v>
      </c>
      <c r="E18" s="17" t="s">
        <v>43</v>
      </c>
      <c r="F18" s="17" t="s">
        <v>53</v>
      </c>
    </row>
    <row r="19" customFormat="false" ht="15" hidden="false" customHeight="false" outlineLevel="0" collapsed="false">
      <c r="A19" s="17" t="s">
        <v>54</v>
      </c>
      <c r="B19" s="17" t="s">
        <v>47</v>
      </c>
      <c r="C19" s="17" t="s">
        <v>47</v>
      </c>
      <c r="D19" s="18" t="n">
        <v>3</v>
      </c>
      <c r="E19" s="17" t="s">
        <v>43</v>
      </c>
      <c r="F19" s="17"/>
    </row>
    <row r="20" customFormat="false" ht="15" hidden="false" customHeight="false" outlineLevel="0" collapsed="false">
      <c r="A20" s="17" t="s">
        <v>58</v>
      </c>
      <c r="B20" s="17" t="s">
        <v>46</v>
      </c>
      <c r="C20" s="17" t="s">
        <v>46</v>
      </c>
      <c r="D20" s="18" t="n">
        <v>5</v>
      </c>
      <c r="E20" s="17" t="s">
        <v>43</v>
      </c>
      <c r="F20" s="17"/>
    </row>
    <row r="21" customFormat="false" ht="15" hidden="false" customHeight="false" outlineLevel="0" collapsed="false">
      <c r="A21" s="17" t="s">
        <v>58</v>
      </c>
      <c r="B21" s="17" t="s">
        <v>59</v>
      </c>
      <c r="C21" s="17" t="s">
        <v>130</v>
      </c>
      <c r="D21" s="18" t="n">
        <v>5</v>
      </c>
      <c r="E21" s="17" t="s">
        <v>43</v>
      </c>
      <c r="F21" s="17"/>
    </row>
    <row r="22" customFormat="false" ht="15" hidden="false" customHeight="false" outlineLevel="0" collapsed="false">
      <c r="A22" s="17" t="s">
        <v>58</v>
      </c>
      <c r="B22" s="17" t="s">
        <v>60</v>
      </c>
      <c r="C22" s="17" t="s">
        <v>60</v>
      </c>
      <c r="D22" s="18" t="n">
        <v>2</v>
      </c>
      <c r="E22" s="17" t="s">
        <v>43</v>
      </c>
      <c r="F22" s="17"/>
    </row>
    <row r="23" customFormat="false" ht="15" hidden="false" customHeight="false" outlineLevel="0" collapsed="false">
      <c r="A23" s="17" t="s">
        <v>58</v>
      </c>
      <c r="B23" s="17" t="s">
        <v>44</v>
      </c>
      <c r="C23" s="17" t="s">
        <v>44</v>
      </c>
      <c r="D23" s="18" t="n">
        <v>3</v>
      </c>
      <c r="E23" s="17" t="s">
        <v>43</v>
      </c>
      <c r="F23" s="17" t="s">
        <v>53</v>
      </c>
    </row>
    <row r="24" customFormat="false" ht="15" hidden="false" customHeight="false" outlineLevel="0" collapsed="false">
      <c r="A24" s="17" t="s">
        <v>58</v>
      </c>
      <c r="B24" s="17" t="s">
        <v>42</v>
      </c>
      <c r="C24" s="17" t="s">
        <v>42</v>
      </c>
      <c r="D24" s="18" t="n">
        <v>2</v>
      </c>
      <c r="E24" s="17" t="s">
        <v>43</v>
      </c>
      <c r="F24" s="17"/>
    </row>
    <row r="25" customFormat="false" ht="15" hidden="false" customHeight="false" outlineLevel="0" collapsed="false">
      <c r="A25" s="17" t="s">
        <v>58</v>
      </c>
      <c r="B25" s="17" t="s">
        <v>57</v>
      </c>
      <c r="C25" s="17" t="s">
        <v>65</v>
      </c>
      <c r="D25" s="18" t="n">
        <v>1</v>
      </c>
      <c r="E25" s="17" t="s">
        <v>43</v>
      </c>
      <c r="F25" s="17" t="s">
        <v>51</v>
      </c>
    </row>
    <row r="26" customFormat="false" ht="15" hidden="false" customHeight="false" outlineLevel="0" collapsed="false">
      <c r="A26" s="17" t="s">
        <v>58</v>
      </c>
      <c r="B26" s="17" t="s">
        <v>47</v>
      </c>
      <c r="C26" s="17" t="s">
        <v>47</v>
      </c>
      <c r="D26" s="18" t="n">
        <v>2</v>
      </c>
      <c r="E26" s="17" t="s">
        <v>43</v>
      </c>
      <c r="F26" s="17"/>
    </row>
    <row r="27" customFormat="false" ht="15" hidden="false" customHeight="false" outlineLevel="0" collapsed="false">
      <c r="A27" s="17" t="s">
        <v>61</v>
      </c>
      <c r="B27" s="17" t="s">
        <v>46</v>
      </c>
      <c r="C27" s="17" t="s">
        <v>46</v>
      </c>
      <c r="D27" s="18" t="n">
        <v>4</v>
      </c>
      <c r="E27" s="17" t="s">
        <v>43</v>
      </c>
      <c r="F27" s="17"/>
    </row>
    <row r="28" customFormat="false" ht="15" hidden="false" customHeight="false" outlineLevel="0" collapsed="false">
      <c r="A28" s="17" t="s">
        <v>61</v>
      </c>
      <c r="B28" s="17" t="s">
        <v>59</v>
      </c>
      <c r="C28" s="17" t="s">
        <v>130</v>
      </c>
      <c r="D28" s="18" t="n">
        <v>4</v>
      </c>
      <c r="E28" s="17" t="s">
        <v>43</v>
      </c>
      <c r="F28" s="17"/>
    </row>
    <row r="29" customFormat="false" ht="15" hidden="false" customHeight="false" outlineLevel="0" collapsed="false">
      <c r="A29" s="17" t="s">
        <v>61</v>
      </c>
      <c r="B29" s="17" t="s">
        <v>60</v>
      </c>
      <c r="C29" s="17" t="s">
        <v>60</v>
      </c>
      <c r="D29" s="18" t="n">
        <v>4</v>
      </c>
      <c r="E29" s="17" t="s">
        <v>43</v>
      </c>
      <c r="F29" s="17"/>
    </row>
    <row r="30" customFormat="false" ht="15" hidden="false" customHeight="false" outlineLevel="0" collapsed="false">
      <c r="A30" s="17" t="s">
        <v>61</v>
      </c>
      <c r="B30" s="17" t="s">
        <v>44</v>
      </c>
      <c r="C30" s="17" t="s">
        <v>44</v>
      </c>
      <c r="D30" s="18" t="n">
        <v>3</v>
      </c>
      <c r="E30" s="17" t="s">
        <v>43</v>
      </c>
      <c r="F30" s="17" t="s">
        <v>53</v>
      </c>
    </row>
    <row r="31" customFormat="false" ht="15" hidden="false" customHeight="false" outlineLevel="0" collapsed="false">
      <c r="A31" s="17" t="s">
        <v>61</v>
      </c>
      <c r="B31" s="17" t="s">
        <v>42</v>
      </c>
      <c r="C31" s="17" t="s">
        <v>42</v>
      </c>
      <c r="D31" s="18" t="n">
        <v>2</v>
      </c>
      <c r="E31" s="17" t="s">
        <v>43</v>
      </c>
      <c r="F31" s="17"/>
    </row>
    <row r="32" customFormat="false" ht="15" hidden="false" customHeight="false" outlineLevel="0" collapsed="false">
      <c r="A32" s="17" t="s">
        <v>61</v>
      </c>
      <c r="B32" s="17" t="s">
        <v>57</v>
      </c>
      <c r="C32" s="17" t="s">
        <v>65</v>
      </c>
      <c r="D32" s="18" t="n">
        <v>1</v>
      </c>
      <c r="E32" s="17" t="s">
        <v>43</v>
      </c>
      <c r="F32" s="17" t="s">
        <v>51</v>
      </c>
    </row>
    <row r="33" customFormat="false" ht="15" hidden="false" customHeight="false" outlineLevel="0" collapsed="false">
      <c r="A33" s="17" t="s">
        <v>61</v>
      </c>
      <c r="B33" s="17" t="s">
        <v>47</v>
      </c>
      <c r="C33" s="17" t="s">
        <v>47</v>
      </c>
      <c r="D33" s="18" t="n">
        <v>2</v>
      </c>
      <c r="E33" s="17" t="s">
        <v>43</v>
      </c>
      <c r="F33" s="17"/>
    </row>
    <row r="34" customFormat="false" ht="23.85" hidden="false" customHeight="false" outlineLevel="0" collapsed="false">
      <c r="A34" s="17" t="s">
        <v>62</v>
      </c>
      <c r="B34" s="17" t="s">
        <v>46</v>
      </c>
      <c r="C34" s="17" t="s">
        <v>46</v>
      </c>
      <c r="D34" s="18" t="n">
        <v>5</v>
      </c>
      <c r="E34" s="17" t="s">
        <v>63</v>
      </c>
      <c r="F34" s="17"/>
    </row>
    <row r="35" customFormat="false" ht="23.85" hidden="false" customHeight="false" outlineLevel="0" collapsed="false">
      <c r="A35" s="17" t="s">
        <v>62</v>
      </c>
      <c r="B35" s="17" t="s">
        <v>59</v>
      </c>
      <c r="C35" s="17" t="s">
        <v>130</v>
      </c>
      <c r="D35" s="18" t="n">
        <v>5</v>
      </c>
      <c r="E35" s="17" t="s">
        <v>63</v>
      </c>
      <c r="F35" s="17"/>
    </row>
    <row r="36" customFormat="false" ht="23.85" hidden="false" customHeight="false" outlineLevel="0" collapsed="false">
      <c r="A36" s="17" t="s">
        <v>62</v>
      </c>
      <c r="B36" s="17" t="s">
        <v>64</v>
      </c>
      <c r="C36" s="17" t="s">
        <v>132</v>
      </c>
      <c r="D36" s="18" t="n">
        <v>5</v>
      </c>
      <c r="E36" s="17" t="s">
        <v>63</v>
      </c>
      <c r="F36" s="17"/>
    </row>
    <row r="37" customFormat="false" ht="23.85" hidden="false" customHeight="false" outlineLevel="0" collapsed="false">
      <c r="A37" s="17" t="s">
        <v>62</v>
      </c>
      <c r="B37" s="17" t="s">
        <v>44</v>
      </c>
      <c r="C37" s="17" t="s">
        <v>44</v>
      </c>
      <c r="D37" s="18" t="n">
        <v>3</v>
      </c>
      <c r="E37" s="17" t="s">
        <v>63</v>
      </c>
      <c r="F37" s="17"/>
    </row>
    <row r="38" customFormat="false" ht="23.85" hidden="false" customHeight="false" outlineLevel="0" collapsed="false">
      <c r="A38" s="17" t="s">
        <v>62</v>
      </c>
      <c r="B38" s="17" t="s">
        <v>42</v>
      </c>
      <c r="C38" s="17" t="s">
        <v>42</v>
      </c>
      <c r="D38" s="18" t="n">
        <v>2</v>
      </c>
      <c r="E38" s="17" t="s">
        <v>63</v>
      </c>
      <c r="F38" s="17"/>
    </row>
    <row r="39" customFormat="false" ht="23.85" hidden="false" customHeight="false" outlineLevel="0" collapsed="false">
      <c r="A39" s="17" t="s">
        <v>62</v>
      </c>
      <c r="B39" s="17" t="s">
        <v>65</v>
      </c>
      <c r="C39" s="17" t="s">
        <v>65</v>
      </c>
      <c r="D39" s="18" t="n">
        <v>2</v>
      </c>
      <c r="E39" s="17" t="s">
        <v>63</v>
      </c>
      <c r="F39" s="17"/>
    </row>
    <row r="40" customFormat="false" ht="23.85" hidden="false" customHeight="false" outlineLevel="0" collapsed="false">
      <c r="A40" s="17" t="s">
        <v>62</v>
      </c>
      <c r="B40" s="17" t="s">
        <v>47</v>
      </c>
      <c r="C40" s="17" t="s">
        <v>47</v>
      </c>
      <c r="D40" s="18" t="n">
        <v>2</v>
      </c>
      <c r="E40" s="17" t="s">
        <v>63</v>
      </c>
      <c r="F40" s="17"/>
    </row>
    <row r="41" customFormat="false" ht="23.85" hidden="false" customHeight="false" outlineLevel="0" collapsed="false">
      <c r="A41" s="17" t="s">
        <v>62</v>
      </c>
      <c r="B41" s="17" t="s">
        <v>66</v>
      </c>
      <c r="C41" s="17" t="s">
        <v>66</v>
      </c>
      <c r="D41" s="18" t="n">
        <v>1</v>
      </c>
      <c r="E41" s="17" t="s">
        <v>63</v>
      </c>
      <c r="F41" s="17"/>
    </row>
    <row r="42" customFormat="false" ht="23.85" hidden="false" customHeight="false" outlineLevel="0" collapsed="false">
      <c r="A42" s="17" t="s">
        <v>67</v>
      </c>
      <c r="B42" s="17" t="s">
        <v>68</v>
      </c>
      <c r="C42" s="17" t="s">
        <v>132</v>
      </c>
      <c r="D42" s="18" t="n">
        <v>9</v>
      </c>
      <c r="E42" s="17" t="s">
        <v>63</v>
      </c>
      <c r="F42" s="17"/>
    </row>
    <row r="43" customFormat="false" ht="23.85" hidden="false" customHeight="false" outlineLevel="0" collapsed="false">
      <c r="A43" s="17" t="s">
        <v>67</v>
      </c>
      <c r="B43" s="17" t="s">
        <v>69</v>
      </c>
      <c r="C43" s="17" t="s">
        <v>132</v>
      </c>
      <c r="D43" s="18" t="n">
        <v>6</v>
      </c>
      <c r="E43" s="17" t="s">
        <v>63</v>
      </c>
      <c r="F43" s="17"/>
    </row>
    <row r="44" customFormat="false" ht="23.85" hidden="false" customHeight="false" outlineLevel="0" collapsed="false">
      <c r="A44" s="17" t="s">
        <v>67</v>
      </c>
      <c r="B44" s="17" t="s">
        <v>59</v>
      </c>
      <c r="C44" s="17" t="s">
        <v>130</v>
      </c>
      <c r="D44" s="18" t="n">
        <v>4</v>
      </c>
      <c r="E44" s="17" t="s">
        <v>63</v>
      </c>
      <c r="F44" s="17"/>
    </row>
    <row r="45" customFormat="false" ht="23.85" hidden="false" customHeight="false" outlineLevel="0" collapsed="false">
      <c r="A45" s="17" t="s">
        <v>67</v>
      </c>
      <c r="B45" s="17" t="s">
        <v>46</v>
      </c>
      <c r="C45" s="17" t="s">
        <v>46</v>
      </c>
      <c r="D45" s="18" t="n">
        <v>4</v>
      </c>
      <c r="E45" s="17" t="s">
        <v>63</v>
      </c>
      <c r="F45" s="17"/>
    </row>
    <row r="46" customFormat="false" ht="23.85" hidden="false" customHeight="false" outlineLevel="0" collapsed="false">
      <c r="A46" s="17" t="s">
        <v>67</v>
      </c>
      <c r="B46" s="17" t="s">
        <v>44</v>
      </c>
      <c r="C46" s="17" t="s">
        <v>44</v>
      </c>
      <c r="D46" s="18" t="n">
        <v>3</v>
      </c>
      <c r="E46" s="17" t="s">
        <v>63</v>
      </c>
      <c r="F46" s="17"/>
    </row>
    <row r="47" customFormat="false" ht="23.85" hidden="false" customHeight="false" outlineLevel="0" collapsed="false">
      <c r="A47" s="17" t="s">
        <v>67</v>
      </c>
      <c r="B47" s="17" t="s">
        <v>42</v>
      </c>
      <c r="C47" s="17" t="s">
        <v>42</v>
      </c>
      <c r="D47" s="18" t="n">
        <v>2</v>
      </c>
      <c r="E47" s="17" t="s">
        <v>63</v>
      </c>
      <c r="F47" s="17"/>
    </row>
    <row r="48" customFormat="false" ht="23.85" hidden="false" customHeight="false" outlineLevel="0" collapsed="false">
      <c r="A48" s="17" t="s">
        <v>67</v>
      </c>
      <c r="B48" s="17" t="s">
        <v>65</v>
      </c>
      <c r="C48" s="17" t="s">
        <v>65</v>
      </c>
      <c r="D48" s="18" t="n">
        <v>2</v>
      </c>
      <c r="E48" s="17" t="s">
        <v>63</v>
      </c>
      <c r="F48" s="17"/>
    </row>
    <row r="49" customFormat="false" ht="23.85" hidden="false" customHeight="false" outlineLevel="0" collapsed="false">
      <c r="A49" s="17" t="s">
        <v>67</v>
      </c>
      <c r="B49" s="17" t="s">
        <v>47</v>
      </c>
      <c r="C49" s="17" t="s">
        <v>47</v>
      </c>
      <c r="D49" s="18" t="n">
        <v>1</v>
      </c>
      <c r="E49" s="17" t="s">
        <v>63</v>
      </c>
      <c r="F49" s="17"/>
    </row>
    <row r="50" customFormat="false" ht="23.85" hidden="false" customHeight="false" outlineLevel="0" collapsed="false">
      <c r="A50" s="17" t="s">
        <v>67</v>
      </c>
      <c r="B50" s="17" t="s">
        <v>66</v>
      </c>
      <c r="C50" s="17" t="s">
        <v>66</v>
      </c>
      <c r="D50" s="18" t="n">
        <v>1</v>
      </c>
      <c r="E50" s="17" t="s">
        <v>63</v>
      </c>
      <c r="F50" s="17"/>
    </row>
    <row r="51" customFormat="false" ht="23.85" hidden="false" customHeight="false" outlineLevel="0" collapsed="false">
      <c r="A51" s="17" t="s">
        <v>70</v>
      </c>
      <c r="B51" s="17" t="s">
        <v>68</v>
      </c>
      <c r="C51" s="17" t="s">
        <v>132</v>
      </c>
      <c r="D51" s="18" t="n">
        <v>9</v>
      </c>
      <c r="E51" s="17" t="s">
        <v>63</v>
      </c>
      <c r="F51" s="17"/>
    </row>
    <row r="52" customFormat="false" ht="23.85" hidden="false" customHeight="false" outlineLevel="0" collapsed="false">
      <c r="A52" s="17" t="s">
        <v>70</v>
      </c>
      <c r="B52" s="17" t="s">
        <v>69</v>
      </c>
      <c r="C52" s="17" t="s">
        <v>132</v>
      </c>
      <c r="D52" s="18" t="n">
        <v>6</v>
      </c>
      <c r="E52" s="17" t="s">
        <v>63</v>
      </c>
      <c r="F52" s="17"/>
    </row>
    <row r="53" customFormat="false" ht="23.85" hidden="false" customHeight="false" outlineLevel="0" collapsed="false">
      <c r="A53" s="17" t="s">
        <v>70</v>
      </c>
      <c r="B53" s="17" t="s">
        <v>59</v>
      </c>
      <c r="C53" s="17" t="s">
        <v>130</v>
      </c>
      <c r="D53" s="18" t="n">
        <v>7</v>
      </c>
      <c r="E53" s="17" t="s">
        <v>63</v>
      </c>
      <c r="F53" s="17"/>
    </row>
    <row r="54" customFormat="false" ht="23.85" hidden="false" customHeight="false" outlineLevel="0" collapsed="false">
      <c r="A54" s="17" t="s">
        <v>70</v>
      </c>
      <c r="B54" s="17" t="s">
        <v>46</v>
      </c>
      <c r="C54" s="17" t="s">
        <v>46</v>
      </c>
      <c r="D54" s="18" t="n">
        <v>4</v>
      </c>
      <c r="E54" s="17" t="s">
        <v>63</v>
      </c>
      <c r="F54" s="17"/>
    </row>
    <row r="55" customFormat="false" ht="23.85" hidden="false" customHeight="false" outlineLevel="0" collapsed="false">
      <c r="A55" s="17" t="s">
        <v>70</v>
      </c>
      <c r="B55" s="17" t="s">
        <v>44</v>
      </c>
      <c r="C55" s="17" t="s">
        <v>44</v>
      </c>
      <c r="D55" s="18" t="n">
        <v>3</v>
      </c>
      <c r="E55" s="17" t="s">
        <v>63</v>
      </c>
      <c r="F55" s="17"/>
    </row>
    <row r="56" customFormat="false" ht="23.85" hidden="false" customHeight="false" outlineLevel="0" collapsed="false">
      <c r="A56" s="17" t="s">
        <v>70</v>
      </c>
      <c r="B56" s="17" t="s">
        <v>42</v>
      </c>
      <c r="C56" s="17" t="s">
        <v>42</v>
      </c>
      <c r="D56" s="18" t="n">
        <v>2</v>
      </c>
      <c r="E56" s="17" t="s">
        <v>63</v>
      </c>
      <c r="F56" s="17"/>
    </row>
    <row r="57" customFormat="false" ht="23.85" hidden="false" customHeight="false" outlineLevel="0" collapsed="false">
      <c r="A57" s="17" t="s">
        <v>70</v>
      </c>
      <c r="B57" s="17" t="s">
        <v>65</v>
      </c>
      <c r="C57" s="17" t="s">
        <v>65</v>
      </c>
      <c r="D57" s="18" t="n">
        <v>2</v>
      </c>
      <c r="E57" s="17" t="s">
        <v>63</v>
      </c>
      <c r="F57" s="17"/>
    </row>
    <row r="58" customFormat="false" ht="23.85" hidden="false" customHeight="false" outlineLevel="0" collapsed="false">
      <c r="A58" s="17" t="s">
        <v>70</v>
      </c>
      <c r="B58" s="17" t="s">
        <v>47</v>
      </c>
      <c r="C58" s="17" t="s">
        <v>47</v>
      </c>
      <c r="D58" s="18" t="n">
        <v>1</v>
      </c>
      <c r="E58" s="17" t="s">
        <v>63</v>
      </c>
      <c r="F58" s="17"/>
    </row>
    <row r="59" customFormat="false" ht="23.85" hidden="false" customHeight="false" outlineLevel="0" collapsed="false">
      <c r="A59" s="17" t="s">
        <v>70</v>
      </c>
      <c r="B59" s="17" t="s">
        <v>66</v>
      </c>
      <c r="C59" s="17" t="s">
        <v>66</v>
      </c>
      <c r="D59" s="18" t="n">
        <v>1</v>
      </c>
      <c r="E59" s="17" t="s">
        <v>63</v>
      </c>
      <c r="F59" s="17"/>
    </row>
    <row r="60" customFormat="false" ht="23.85" hidden="false" customHeight="false" outlineLevel="0" collapsed="false">
      <c r="A60" s="17" t="s">
        <v>71</v>
      </c>
      <c r="B60" s="17" t="s">
        <v>68</v>
      </c>
      <c r="C60" s="17" t="s">
        <v>132</v>
      </c>
      <c r="D60" s="18" t="n">
        <v>9</v>
      </c>
      <c r="E60" s="17" t="s">
        <v>63</v>
      </c>
      <c r="F60" s="17"/>
    </row>
    <row r="61" customFormat="false" ht="23.85" hidden="false" customHeight="false" outlineLevel="0" collapsed="false">
      <c r="A61" s="17" t="s">
        <v>71</v>
      </c>
      <c r="B61" s="17" t="s">
        <v>69</v>
      </c>
      <c r="C61" s="17" t="s">
        <v>132</v>
      </c>
      <c r="D61" s="18" t="n">
        <v>6</v>
      </c>
      <c r="E61" s="17" t="s">
        <v>63</v>
      </c>
      <c r="F61" s="17"/>
    </row>
    <row r="62" customFormat="false" ht="23.85" hidden="false" customHeight="false" outlineLevel="0" collapsed="false">
      <c r="A62" s="17" t="s">
        <v>71</v>
      </c>
      <c r="B62" s="17" t="s">
        <v>59</v>
      </c>
      <c r="C62" s="17" t="s">
        <v>130</v>
      </c>
      <c r="D62" s="18" t="n">
        <v>7</v>
      </c>
      <c r="E62" s="17" t="s">
        <v>63</v>
      </c>
      <c r="F62" s="17"/>
    </row>
    <row r="63" customFormat="false" ht="23.85" hidden="false" customHeight="false" outlineLevel="0" collapsed="false">
      <c r="A63" s="17" t="s">
        <v>71</v>
      </c>
      <c r="B63" s="17" t="s">
        <v>46</v>
      </c>
      <c r="C63" s="17" t="s">
        <v>46</v>
      </c>
      <c r="D63" s="18" t="n">
        <v>4</v>
      </c>
      <c r="E63" s="17" t="s">
        <v>63</v>
      </c>
      <c r="F63" s="17"/>
    </row>
    <row r="64" customFormat="false" ht="23.85" hidden="false" customHeight="false" outlineLevel="0" collapsed="false">
      <c r="A64" s="17" t="s">
        <v>71</v>
      </c>
      <c r="B64" s="17" t="s">
        <v>44</v>
      </c>
      <c r="C64" s="17" t="s">
        <v>44</v>
      </c>
      <c r="D64" s="18" t="n">
        <v>3</v>
      </c>
      <c r="E64" s="17" t="s">
        <v>63</v>
      </c>
      <c r="F64" s="17"/>
    </row>
    <row r="65" customFormat="false" ht="23.85" hidden="false" customHeight="false" outlineLevel="0" collapsed="false">
      <c r="A65" s="17" t="s">
        <v>71</v>
      </c>
      <c r="B65" s="17" t="s">
        <v>42</v>
      </c>
      <c r="C65" s="17" t="s">
        <v>42</v>
      </c>
      <c r="D65" s="18" t="n">
        <v>2</v>
      </c>
      <c r="E65" s="17" t="s">
        <v>63</v>
      </c>
      <c r="F65" s="17"/>
    </row>
    <row r="66" customFormat="false" ht="23.85" hidden="false" customHeight="false" outlineLevel="0" collapsed="false">
      <c r="A66" s="17" t="s">
        <v>71</v>
      </c>
      <c r="B66" s="17" t="s">
        <v>65</v>
      </c>
      <c r="C66" s="17" t="s">
        <v>65</v>
      </c>
      <c r="D66" s="18" t="n">
        <v>2</v>
      </c>
      <c r="E66" s="17" t="s">
        <v>63</v>
      </c>
      <c r="F66" s="17"/>
    </row>
    <row r="67" customFormat="false" ht="23.85" hidden="false" customHeight="false" outlineLevel="0" collapsed="false">
      <c r="A67" s="17" t="s">
        <v>71</v>
      </c>
      <c r="B67" s="17" t="s">
        <v>47</v>
      </c>
      <c r="C67" s="17" t="s">
        <v>47</v>
      </c>
      <c r="D67" s="18" t="n">
        <v>1</v>
      </c>
      <c r="E67" s="17" t="s">
        <v>63</v>
      </c>
      <c r="F67" s="17"/>
    </row>
    <row r="68" customFormat="false" ht="23.85" hidden="false" customHeight="false" outlineLevel="0" collapsed="false">
      <c r="A68" s="17" t="s">
        <v>71</v>
      </c>
      <c r="B68" s="17" t="s">
        <v>66</v>
      </c>
      <c r="C68" s="17" t="s">
        <v>66</v>
      </c>
      <c r="D68" s="18" t="n">
        <v>1</v>
      </c>
      <c r="E68" s="17" t="s">
        <v>63</v>
      </c>
      <c r="F68" s="17"/>
    </row>
    <row r="69" customFormat="false" ht="23.85" hidden="false" customHeight="false" outlineLevel="0" collapsed="false">
      <c r="A69" s="17" t="s">
        <v>72</v>
      </c>
      <c r="B69" s="17" t="s">
        <v>68</v>
      </c>
      <c r="C69" s="17" t="s">
        <v>132</v>
      </c>
      <c r="D69" s="18" t="n">
        <v>9</v>
      </c>
      <c r="E69" s="17" t="s">
        <v>63</v>
      </c>
      <c r="F69" s="17"/>
    </row>
    <row r="70" customFormat="false" ht="23.85" hidden="false" customHeight="false" outlineLevel="0" collapsed="false">
      <c r="A70" s="17" t="s">
        <v>72</v>
      </c>
      <c r="B70" s="17" t="s">
        <v>69</v>
      </c>
      <c r="C70" s="17" t="s">
        <v>132</v>
      </c>
      <c r="D70" s="18" t="n">
        <v>6</v>
      </c>
      <c r="E70" s="17" t="s">
        <v>63</v>
      </c>
      <c r="F70" s="17"/>
    </row>
    <row r="71" customFormat="false" ht="23.85" hidden="false" customHeight="false" outlineLevel="0" collapsed="false">
      <c r="A71" s="17" t="s">
        <v>72</v>
      </c>
      <c r="B71" s="17" t="s">
        <v>59</v>
      </c>
      <c r="C71" s="17" t="s">
        <v>130</v>
      </c>
      <c r="D71" s="18" t="n">
        <v>4</v>
      </c>
      <c r="E71" s="17" t="s">
        <v>63</v>
      </c>
      <c r="F71" s="17"/>
    </row>
    <row r="72" customFormat="false" ht="23.85" hidden="false" customHeight="false" outlineLevel="0" collapsed="false">
      <c r="A72" s="17" t="s">
        <v>72</v>
      </c>
      <c r="B72" s="17" t="s">
        <v>46</v>
      </c>
      <c r="C72" s="17" t="s">
        <v>46</v>
      </c>
      <c r="D72" s="18" t="n">
        <v>4</v>
      </c>
      <c r="E72" s="17" t="s">
        <v>63</v>
      </c>
      <c r="F72" s="17"/>
    </row>
    <row r="73" customFormat="false" ht="23.85" hidden="false" customHeight="false" outlineLevel="0" collapsed="false">
      <c r="A73" s="17" t="s">
        <v>72</v>
      </c>
      <c r="B73" s="17" t="s">
        <v>44</v>
      </c>
      <c r="C73" s="17" t="s">
        <v>44</v>
      </c>
      <c r="D73" s="18" t="n">
        <v>3</v>
      </c>
      <c r="E73" s="17" t="s">
        <v>63</v>
      </c>
      <c r="F73" s="17"/>
    </row>
    <row r="74" customFormat="false" ht="23.85" hidden="false" customHeight="false" outlineLevel="0" collapsed="false">
      <c r="A74" s="17" t="s">
        <v>72</v>
      </c>
      <c r="B74" s="17" t="s">
        <v>42</v>
      </c>
      <c r="C74" s="17" t="s">
        <v>42</v>
      </c>
      <c r="D74" s="18" t="n">
        <v>2</v>
      </c>
      <c r="E74" s="17" t="s">
        <v>63</v>
      </c>
      <c r="F74" s="17"/>
    </row>
    <row r="75" customFormat="false" ht="23.85" hidden="false" customHeight="false" outlineLevel="0" collapsed="false">
      <c r="A75" s="17" t="s">
        <v>72</v>
      </c>
      <c r="B75" s="17" t="s">
        <v>65</v>
      </c>
      <c r="C75" s="17" t="s">
        <v>65</v>
      </c>
      <c r="D75" s="18" t="n">
        <v>2</v>
      </c>
      <c r="E75" s="17" t="s">
        <v>63</v>
      </c>
      <c r="F75" s="17"/>
    </row>
    <row r="76" customFormat="false" ht="23.85" hidden="false" customHeight="false" outlineLevel="0" collapsed="false">
      <c r="A76" s="17" t="s">
        <v>72</v>
      </c>
      <c r="B76" s="17" t="s">
        <v>47</v>
      </c>
      <c r="C76" s="17" t="s">
        <v>47</v>
      </c>
      <c r="D76" s="18" t="n">
        <v>1</v>
      </c>
      <c r="E76" s="17" t="s">
        <v>63</v>
      </c>
      <c r="F76" s="17"/>
    </row>
    <row r="77" customFormat="false" ht="23.85" hidden="false" customHeight="false" outlineLevel="0" collapsed="false">
      <c r="A77" s="17" t="s">
        <v>72</v>
      </c>
      <c r="B77" s="17" t="s">
        <v>66</v>
      </c>
      <c r="C77" s="17" t="s">
        <v>66</v>
      </c>
      <c r="D77" s="18" t="n">
        <v>1</v>
      </c>
      <c r="E77" s="17" t="s">
        <v>63</v>
      </c>
      <c r="F77" s="17"/>
    </row>
    <row r="78" customFormat="false" ht="23.85" hidden="false" customHeight="false" outlineLevel="0" collapsed="false">
      <c r="A78" s="17" t="s">
        <v>73</v>
      </c>
      <c r="B78" s="17" t="s">
        <v>74</v>
      </c>
      <c r="C78" s="17" t="s">
        <v>132</v>
      </c>
      <c r="D78" s="18" t="n">
        <v>9</v>
      </c>
      <c r="E78" s="17" t="s">
        <v>63</v>
      </c>
      <c r="F78" s="17"/>
    </row>
    <row r="79" customFormat="false" ht="23.85" hidden="false" customHeight="false" outlineLevel="0" collapsed="false">
      <c r="A79" s="17" t="s">
        <v>73</v>
      </c>
      <c r="B79" s="17" t="s">
        <v>75</v>
      </c>
      <c r="C79" s="17" t="s">
        <v>132</v>
      </c>
      <c r="D79" s="18" t="n">
        <v>4</v>
      </c>
      <c r="E79" s="17" t="s">
        <v>63</v>
      </c>
      <c r="F79" s="17"/>
    </row>
    <row r="80" customFormat="false" ht="23.85" hidden="false" customHeight="false" outlineLevel="0" collapsed="false">
      <c r="A80" s="17" t="s">
        <v>73</v>
      </c>
      <c r="B80" s="17" t="s">
        <v>59</v>
      </c>
      <c r="C80" s="17" t="s">
        <v>130</v>
      </c>
      <c r="D80" s="18" t="n">
        <v>4</v>
      </c>
      <c r="E80" s="17" t="s">
        <v>63</v>
      </c>
      <c r="F80" s="17"/>
    </row>
    <row r="81" customFormat="false" ht="23.85" hidden="false" customHeight="false" outlineLevel="0" collapsed="false">
      <c r="A81" s="17" t="s">
        <v>73</v>
      </c>
      <c r="B81" s="17" t="s">
        <v>46</v>
      </c>
      <c r="C81" s="17" t="s">
        <v>46</v>
      </c>
      <c r="D81" s="18" t="n">
        <v>4</v>
      </c>
      <c r="E81" s="17" t="s">
        <v>63</v>
      </c>
      <c r="F81" s="17"/>
    </row>
    <row r="82" customFormat="false" ht="23.85" hidden="false" customHeight="false" outlineLevel="0" collapsed="false">
      <c r="A82" s="17" t="s">
        <v>73</v>
      </c>
      <c r="B82" s="17" t="s">
        <v>44</v>
      </c>
      <c r="C82" s="17" t="s">
        <v>44</v>
      </c>
      <c r="D82" s="18" t="n">
        <v>3</v>
      </c>
      <c r="E82" s="17" t="s">
        <v>63</v>
      </c>
      <c r="F82" s="17"/>
    </row>
    <row r="83" customFormat="false" ht="23.85" hidden="false" customHeight="false" outlineLevel="0" collapsed="false">
      <c r="A83" s="17" t="s">
        <v>73</v>
      </c>
      <c r="B83" s="17" t="s">
        <v>42</v>
      </c>
      <c r="C83" s="17" t="s">
        <v>42</v>
      </c>
      <c r="D83" s="18" t="n">
        <v>2</v>
      </c>
      <c r="E83" s="17" t="s">
        <v>63</v>
      </c>
      <c r="F83" s="17"/>
    </row>
    <row r="84" customFormat="false" ht="23.85" hidden="false" customHeight="false" outlineLevel="0" collapsed="false">
      <c r="A84" s="17" t="s">
        <v>73</v>
      </c>
      <c r="B84" s="17" t="s">
        <v>65</v>
      </c>
      <c r="C84" s="17" t="s">
        <v>65</v>
      </c>
      <c r="D84" s="18" t="n">
        <v>2</v>
      </c>
      <c r="E84" s="17" t="s">
        <v>63</v>
      </c>
      <c r="F84" s="17"/>
    </row>
    <row r="85" customFormat="false" ht="23.85" hidden="false" customHeight="false" outlineLevel="0" collapsed="false">
      <c r="A85" s="17" t="s">
        <v>73</v>
      </c>
      <c r="B85" s="17" t="s">
        <v>47</v>
      </c>
      <c r="C85" s="17" t="s">
        <v>47</v>
      </c>
      <c r="D85" s="18" t="n">
        <v>1</v>
      </c>
      <c r="E85" s="17" t="s">
        <v>63</v>
      </c>
      <c r="F85" s="17"/>
    </row>
    <row r="86" customFormat="false" ht="23.85" hidden="false" customHeight="false" outlineLevel="0" collapsed="false">
      <c r="A86" s="17" t="s">
        <v>73</v>
      </c>
      <c r="B86" s="17" t="s">
        <v>66</v>
      </c>
      <c r="C86" s="17" t="s">
        <v>66</v>
      </c>
      <c r="D86" s="18" t="n">
        <v>1</v>
      </c>
      <c r="E86" s="17" t="s">
        <v>63</v>
      </c>
      <c r="F86" s="17"/>
    </row>
    <row r="87" customFormat="false" ht="23.85" hidden="false" customHeight="false" outlineLevel="0" collapsed="false">
      <c r="A87" s="17" t="s">
        <v>76</v>
      </c>
      <c r="B87" s="17" t="s">
        <v>77</v>
      </c>
      <c r="C87" s="17" t="s">
        <v>132</v>
      </c>
      <c r="D87" s="18" t="n">
        <v>6</v>
      </c>
      <c r="E87" s="17" t="s">
        <v>63</v>
      </c>
      <c r="F87" s="17"/>
    </row>
    <row r="88" customFormat="false" ht="23.85" hidden="false" customHeight="false" outlineLevel="0" collapsed="false">
      <c r="A88" s="17" t="s">
        <v>76</v>
      </c>
      <c r="B88" s="17" t="s">
        <v>78</v>
      </c>
      <c r="C88" s="17" t="s">
        <v>46</v>
      </c>
      <c r="D88" s="18" t="n">
        <v>4</v>
      </c>
      <c r="E88" s="17" t="s">
        <v>63</v>
      </c>
      <c r="F88" s="17"/>
    </row>
    <row r="89" customFormat="false" ht="23.85" hidden="false" customHeight="false" outlineLevel="0" collapsed="false">
      <c r="A89" s="17" t="s">
        <v>76</v>
      </c>
      <c r="B89" s="17" t="s">
        <v>79</v>
      </c>
      <c r="C89" s="17" t="s">
        <v>132</v>
      </c>
      <c r="D89" s="18" t="n">
        <v>4</v>
      </c>
      <c r="E89" s="17" t="s">
        <v>63</v>
      </c>
      <c r="F89" s="17"/>
    </row>
    <row r="90" customFormat="false" ht="23.85" hidden="false" customHeight="false" outlineLevel="0" collapsed="false">
      <c r="A90" s="17" t="s">
        <v>76</v>
      </c>
      <c r="B90" s="17" t="s">
        <v>80</v>
      </c>
      <c r="C90" s="17" t="s">
        <v>132</v>
      </c>
      <c r="D90" s="18" t="n">
        <v>3</v>
      </c>
      <c r="E90" s="17" t="s">
        <v>63</v>
      </c>
      <c r="F90" s="17"/>
    </row>
    <row r="91" customFormat="false" ht="23.85" hidden="false" customHeight="false" outlineLevel="0" collapsed="false">
      <c r="A91" s="17" t="s">
        <v>76</v>
      </c>
      <c r="B91" s="17" t="s">
        <v>44</v>
      </c>
      <c r="C91" s="17" t="s">
        <v>44</v>
      </c>
      <c r="D91" s="18" t="n">
        <v>3</v>
      </c>
      <c r="E91" s="17" t="s">
        <v>63</v>
      </c>
      <c r="F91" s="17"/>
    </row>
    <row r="92" customFormat="false" ht="23.85" hidden="false" customHeight="false" outlineLevel="0" collapsed="false">
      <c r="A92" s="17" t="s">
        <v>76</v>
      </c>
      <c r="B92" s="17" t="s">
        <v>42</v>
      </c>
      <c r="C92" s="17" t="s">
        <v>42</v>
      </c>
      <c r="D92" s="18" t="n">
        <v>2</v>
      </c>
      <c r="E92" s="17" t="s">
        <v>63</v>
      </c>
      <c r="F92" s="17"/>
    </row>
    <row r="93" customFormat="false" ht="23.85" hidden="false" customHeight="false" outlineLevel="0" collapsed="false">
      <c r="A93" s="17" t="s">
        <v>76</v>
      </c>
      <c r="B93" s="17" t="s">
        <v>65</v>
      </c>
      <c r="C93" s="17" t="s">
        <v>65</v>
      </c>
      <c r="D93" s="18" t="n">
        <v>2</v>
      </c>
      <c r="E93" s="17" t="s">
        <v>63</v>
      </c>
      <c r="F93" s="17"/>
    </row>
    <row r="94" customFormat="false" ht="23.85" hidden="false" customHeight="false" outlineLevel="0" collapsed="false">
      <c r="A94" s="17" t="s">
        <v>76</v>
      </c>
      <c r="B94" s="17" t="s">
        <v>81</v>
      </c>
      <c r="C94" s="17" t="s">
        <v>81</v>
      </c>
      <c r="D94" s="18" t="n">
        <v>1</v>
      </c>
      <c r="E94" s="17" t="s">
        <v>63</v>
      </c>
      <c r="F94" s="17"/>
    </row>
    <row r="95" customFormat="false" ht="23.85" hidden="false" customHeight="false" outlineLevel="0" collapsed="false">
      <c r="A95" s="17" t="s">
        <v>76</v>
      </c>
      <c r="B95" s="17" t="s">
        <v>66</v>
      </c>
      <c r="C95" s="17" t="s">
        <v>66</v>
      </c>
      <c r="D95" s="18" t="n">
        <v>1</v>
      </c>
      <c r="E95" s="17" t="s">
        <v>63</v>
      </c>
      <c r="F95" s="17"/>
    </row>
    <row r="96" customFormat="false" ht="23.85" hidden="false" customHeight="false" outlineLevel="0" collapsed="false">
      <c r="A96" s="17" t="s">
        <v>82</v>
      </c>
      <c r="B96" s="17" t="s">
        <v>83</v>
      </c>
      <c r="C96" s="17" t="s">
        <v>132</v>
      </c>
      <c r="D96" s="18" t="n">
        <v>8</v>
      </c>
      <c r="E96" s="17" t="s">
        <v>63</v>
      </c>
      <c r="F96" s="17"/>
    </row>
    <row r="97" customFormat="false" ht="23.85" hidden="false" customHeight="false" outlineLevel="0" collapsed="false">
      <c r="A97" s="17" t="s">
        <v>82</v>
      </c>
      <c r="B97" s="17" t="s">
        <v>84</v>
      </c>
      <c r="C97" s="17" t="s">
        <v>44</v>
      </c>
      <c r="D97" s="18" t="n">
        <v>3</v>
      </c>
      <c r="E97" s="17" t="s">
        <v>63</v>
      </c>
      <c r="F97" s="17"/>
    </row>
    <row r="98" customFormat="false" ht="23.85" hidden="false" customHeight="false" outlineLevel="0" collapsed="false">
      <c r="A98" s="17" t="s">
        <v>82</v>
      </c>
      <c r="B98" s="17" t="s">
        <v>85</v>
      </c>
      <c r="C98" s="17" t="s">
        <v>132</v>
      </c>
      <c r="D98" s="18" t="n">
        <v>3</v>
      </c>
      <c r="E98" s="17" t="s">
        <v>63</v>
      </c>
      <c r="F98" s="17"/>
    </row>
    <row r="99" customFormat="false" ht="23.85" hidden="false" customHeight="false" outlineLevel="0" collapsed="false">
      <c r="A99" s="17" t="s">
        <v>82</v>
      </c>
      <c r="B99" s="17" t="s">
        <v>86</v>
      </c>
      <c r="C99" s="17" t="s">
        <v>46</v>
      </c>
      <c r="D99" s="18" t="n">
        <v>2</v>
      </c>
      <c r="E99" s="17" t="s">
        <v>63</v>
      </c>
      <c r="F99" s="17"/>
    </row>
    <row r="100" customFormat="false" ht="23.85" hidden="false" customHeight="false" outlineLevel="0" collapsed="false">
      <c r="A100" s="17" t="s">
        <v>82</v>
      </c>
      <c r="B100" s="17" t="s">
        <v>87</v>
      </c>
      <c r="C100" s="17" t="s">
        <v>46</v>
      </c>
      <c r="D100" s="18" t="n">
        <v>2</v>
      </c>
      <c r="E100" s="17" t="s">
        <v>63</v>
      </c>
      <c r="F100" s="17"/>
    </row>
    <row r="101" customFormat="false" ht="23.85" hidden="false" customHeight="false" outlineLevel="0" collapsed="false">
      <c r="A101" s="17" t="s">
        <v>82</v>
      </c>
      <c r="B101" s="17" t="s">
        <v>65</v>
      </c>
      <c r="C101" s="17" t="s">
        <v>65</v>
      </c>
      <c r="D101" s="18" t="n">
        <v>3</v>
      </c>
      <c r="E101" s="17" t="s">
        <v>63</v>
      </c>
      <c r="F101" s="17"/>
    </row>
    <row r="102" customFormat="false" ht="23.85" hidden="false" customHeight="false" outlineLevel="0" collapsed="false">
      <c r="A102" s="17" t="s">
        <v>82</v>
      </c>
      <c r="B102" s="17" t="s">
        <v>88</v>
      </c>
      <c r="C102" s="17" t="s">
        <v>237</v>
      </c>
      <c r="D102" s="18" t="n">
        <v>2</v>
      </c>
      <c r="E102" s="17" t="s">
        <v>63</v>
      </c>
      <c r="F102" s="17"/>
    </row>
    <row r="103" customFormat="false" ht="23.85" hidden="false" customHeight="false" outlineLevel="0" collapsed="false">
      <c r="A103" s="17" t="s">
        <v>82</v>
      </c>
      <c r="B103" s="17" t="s">
        <v>89</v>
      </c>
      <c r="C103" s="17" t="s">
        <v>81</v>
      </c>
      <c r="D103" s="18" t="n">
        <v>2</v>
      </c>
      <c r="E103" s="17" t="s">
        <v>63</v>
      </c>
      <c r="F103" s="17"/>
    </row>
    <row r="104" customFormat="false" ht="23.85" hidden="false" customHeight="false" outlineLevel="0" collapsed="false">
      <c r="A104" s="17" t="s">
        <v>82</v>
      </c>
      <c r="B104" s="17" t="s">
        <v>66</v>
      </c>
      <c r="C104" s="17" t="s">
        <v>66</v>
      </c>
      <c r="D104" s="18" t="n">
        <v>1</v>
      </c>
      <c r="E104" s="17" t="s">
        <v>63</v>
      </c>
      <c r="F104" s="17"/>
    </row>
    <row r="105" customFormat="false" ht="23.85" hidden="false" customHeight="false" outlineLevel="0" collapsed="false">
      <c r="A105" s="17" t="s">
        <v>90</v>
      </c>
      <c r="B105" s="17" t="s">
        <v>46</v>
      </c>
      <c r="C105" s="17" t="s">
        <v>46</v>
      </c>
      <c r="D105" s="18" t="n">
        <v>2</v>
      </c>
      <c r="E105" s="17" t="s">
        <v>63</v>
      </c>
      <c r="F105" s="17" t="s">
        <v>93</v>
      </c>
    </row>
    <row r="106" customFormat="false" ht="23.85" hidden="false" customHeight="false" outlineLevel="0" collapsed="false">
      <c r="A106" s="17" t="s">
        <v>90</v>
      </c>
      <c r="B106" s="17" t="s">
        <v>59</v>
      </c>
      <c r="C106" s="17" t="s">
        <v>130</v>
      </c>
      <c r="D106" s="18" t="n">
        <v>2</v>
      </c>
      <c r="E106" s="17" t="s">
        <v>63</v>
      </c>
      <c r="F106" s="17" t="s">
        <v>93</v>
      </c>
    </row>
    <row r="107" customFormat="false" ht="23.85" hidden="false" customHeight="false" outlineLevel="0" collapsed="false">
      <c r="A107" s="17" t="s">
        <v>90</v>
      </c>
      <c r="B107" s="1" t="s">
        <v>84</v>
      </c>
      <c r="C107" s="17" t="s">
        <v>44</v>
      </c>
      <c r="D107" s="18" t="n">
        <v>2</v>
      </c>
      <c r="E107" s="17" t="s">
        <v>63</v>
      </c>
      <c r="F107" s="17" t="s">
        <v>94</v>
      </c>
    </row>
    <row r="108" customFormat="false" ht="15" hidden="false" customHeight="false" outlineLevel="0" collapsed="false">
      <c r="A108" s="17" t="s">
        <v>90</v>
      </c>
      <c r="B108" s="17" t="s">
        <v>65</v>
      </c>
      <c r="C108" s="17" t="s">
        <v>65</v>
      </c>
      <c r="D108" s="18" t="n">
        <v>1</v>
      </c>
      <c r="E108" s="17"/>
      <c r="F108" s="17"/>
    </row>
    <row r="109" customFormat="false" ht="15" hidden="false" customHeight="false" outlineLevel="0" collapsed="false">
      <c r="A109" s="17" t="s">
        <v>90</v>
      </c>
      <c r="B109" s="1" t="s">
        <v>91</v>
      </c>
      <c r="C109" s="8" t="s">
        <v>132</v>
      </c>
      <c r="D109" s="1" t="n">
        <v>8</v>
      </c>
      <c r="E109" s="17"/>
      <c r="F109" s="17"/>
    </row>
    <row r="110" customFormat="false" ht="23.85" hidden="false" customHeight="false" outlineLevel="0" collapsed="false">
      <c r="A110" s="17" t="s">
        <v>95</v>
      </c>
      <c r="B110" s="17" t="s">
        <v>96</v>
      </c>
      <c r="C110" s="17" t="s">
        <v>132</v>
      </c>
      <c r="D110" s="18" t="n">
        <v>9</v>
      </c>
      <c r="E110" s="17" t="s">
        <v>63</v>
      </c>
      <c r="F110" s="17" t="s">
        <v>97</v>
      </c>
    </row>
    <row r="111" customFormat="false" ht="23.85" hidden="false" customHeight="false" outlineLevel="0" collapsed="false">
      <c r="A111" s="17" t="s">
        <v>95</v>
      </c>
      <c r="B111" s="17" t="s">
        <v>46</v>
      </c>
      <c r="C111" s="17" t="s">
        <v>46</v>
      </c>
      <c r="D111" s="18" t="n">
        <v>2</v>
      </c>
      <c r="E111" s="17" t="s">
        <v>63</v>
      </c>
      <c r="F111" s="17" t="s">
        <v>93</v>
      </c>
    </row>
    <row r="112" customFormat="false" ht="23.85" hidden="false" customHeight="false" outlineLevel="0" collapsed="false">
      <c r="A112" s="17" t="s">
        <v>95</v>
      </c>
      <c r="B112" s="17" t="s">
        <v>98</v>
      </c>
      <c r="C112" s="17" t="s">
        <v>130</v>
      </c>
      <c r="D112" s="18" t="n">
        <v>2</v>
      </c>
      <c r="E112" s="17" t="s">
        <v>63</v>
      </c>
      <c r="F112" s="17" t="s">
        <v>93</v>
      </c>
    </row>
    <row r="113" customFormat="false" ht="15" hidden="false" customHeight="false" outlineLevel="0" collapsed="false">
      <c r="A113" s="17" t="s">
        <v>95</v>
      </c>
      <c r="B113" s="1" t="s">
        <v>84</v>
      </c>
      <c r="C113" s="17" t="s">
        <v>44</v>
      </c>
      <c r="D113" s="18" t="n">
        <v>2</v>
      </c>
      <c r="E113" s="17"/>
      <c r="F113" s="17"/>
    </row>
    <row r="114" customFormat="false" ht="15" hidden="false" customHeight="false" outlineLevel="0" collapsed="false">
      <c r="A114" s="17" t="s">
        <v>95</v>
      </c>
      <c r="B114" s="17" t="s">
        <v>65</v>
      </c>
      <c r="C114" s="17" t="s">
        <v>65</v>
      </c>
      <c r="D114" s="18" t="n">
        <v>1</v>
      </c>
      <c r="E114" s="17"/>
      <c r="F114" s="17"/>
    </row>
    <row r="115" customFormat="false" ht="23.85" hidden="false" customHeight="false" outlineLevel="0" collapsed="false">
      <c r="A115" s="17" t="s">
        <v>99</v>
      </c>
      <c r="B115" s="17" t="s">
        <v>100</v>
      </c>
      <c r="C115" s="17" t="s">
        <v>132</v>
      </c>
      <c r="D115" s="18" t="n">
        <v>9</v>
      </c>
      <c r="E115" s="17" t="s">
        <v>63</v>
      </c>
      <c r="F115" s="17" t="s">
        <v>97</v>
      </c>
    </row>
    <row r="116" customFormat="false" ht="23.85" hidden="false" customHeight="false" outlineLevel="0" collapsed="false">
      <c r="A116" s="17" t="s">
        <v>99</v>
      </c>
      <c r="B116" s="17" t="s">
        <v>101</v>
      </c>
      <c r="C116" s="17" t="s">
        <v>132</v>
      </c>
      <c r="D116" s="18" t="n">
        <v>5</v>
      </c>
      <c r="E116" s="17" t="s">
        <v>63</v>
      </c>
      <c r="F116" s="17" t="s">
        <v>102</v>
      </c>
    </row>
    <row r="117" customFormat="false" ht="23.85" hidden="false" customHeight="false" outlineLevel="0" collapsed="false">
      <c r="A117" s="17" t="s">
        <v>99</v>
      </c>
      <c r="B117" s="17" t="s">
        <v>46</v>
      </c>
      <c r="C117" s="17" t="s">
        <v>46</v>
      </c>
      <c r="D117" s="18" t="n">
        <v>4</v>
      </c>
      <c r="E117" s="17" t="s">
        <v>63</v>
      </c>
      <c r="F117" s="17" t="s">
        <v>93</v>
      </c>
    </row>
    <row r="118" customFormat="false" ht="23.85" hidden="false" customHeight="false" outlineLevel="0" collapsed="false">
      <c r="A118" s="17" t="s">
        <v>99</v>
      </c>
      <c r="B118" s="17" t="s">
        <v>59</v>
      </c>
      <c r="C118" s="17" t="s">
        <v>130</v>
      </c>
      <c r="D118" s="18" t="n">
        <v>4</v>
      </c>
      <c r="E118" s="17" t="s">
        <v>63</v>
      </c>
      <c r="F118" s="17" t="s">
        <v>93</v>
      </c>
    </row>
    <row r="119" customFormat="false" ht="15" hidden="false" customHeight="false" outlineLevel="0" collapsed="false">
      <c r="A119" s="17" t="s">
        <v>99</v>
      </c>
      <c r="B119" s="1" t="s">
        <v>84</v>
      </c>
      <c r="C119" s="17" t="s">
        <v>44</v>
      </c>
      <c r="D119" s="18" t="n">
        <v>2</v>
      </c>
      <c r="E119" s="17"/>
      <c r="F119" s="17"/>
    </row>
    <row r="120" customFormat="false" ht="15" hidden="false" customHeight="false" outlineLevel="0" collapsed="false">
      <c r="A120" s="17" t="s">
        <v>99</v>
      </c>
      <c r="B120" s="17" t="s">
        <v>65</v>
      </c>
      <c r="C120" s="17" t="s">
        <v>65</v>
      </c>
      <c r="D120" s="18" t="n">
        <v>1</v>
      </c>
      <c r="E120" s="17"/>
      <c r="F120" s="17"/>
    </row>
    <row r="121" customFormat="false" ht="23.85" hidden="false" customHeight="false" outlineLevel="0" collapsed="false">
      <c r="A121" s="17" t="s">
        <v>103</v>
      </c>
      <c r="B121" s="17" t="s">
        <v>100</v>
      </c>
      <c r="C121" s="17" t="s">
        <v>132</v>
      </c>
      <c r="D121" s="18" t="n">
        <v>9</v>
      </c>
      <c r="E121" s="17" t="s">
        <v>63</v>
      </c>
      <c r="F121" s="17" t="s">
        <v>97</v>
      </c>
    </row>
    <row r="122" customFormat="false" ht="23.85" hidden="false" customHeight="false" outlineLevel="0" collapsed="false">
      <c r="A122" s="17" t="s">
        <v>103</v>
      </c>
      <c r="B122" s="17" t="s">
        <v>101</v>
      </c>
      <c r="C122" s="17" t="s">
        <v>132</v>
      </c>
      <c r="D122" s="18" t="n">
        <v>5</v>
      </c>
      <c r="E122" s="17" t="s">
        <v>63</v>
      </c>
      <c r="F122" s="17" t="s">
        <v>102</v>
      </c>
    </row>
    <row r="123" customFormat="false" ht="23.85" hidden="false" customHeight="false" outlineLevel="0" collapsed="false">
      <c r="A123" s="17" t="s">
        <v>103</v>
      </c>
      <c r="B123" s="17" t="s">
        <v>46</v>
      </c>
      <c r="C123" s="17" t="s">
        <v>46</v>
      </c>
      <c r="D123" s="18" t="n">
        <v>2</v>
      </c>
      <c r="E123" s="17" t="s">
        <v>63</v>
      </c>
      <c r="F123" s="17" t="s">
        <v>93</v>
      </c>
    </row>
    <row r="124" customFormat="false" ht="23.85" hidden="false" customHeight="false" outlineLevel="0" collapsed="false">
      <c r="A124" s="17" t="s">
        <v>103</v>
      </c>
      <c r="B124" s="17" t="s">
        <v>59</v>
      </c>
      <c r="C124" s="17" t="s">
        <v>130</v>
      </c>
      <c r="D124" s="18" t="n">
        <v>2</v>
      </c>
      <c r="E124" s="17" t="s">
        <v>63</v>
      </c>
      <c r="F124" s="17" t="s">
        <v>93</v>
      </c>
    </row>
    <row r="125" customFormat="false" ht="15" hidden="false" customHeight="false" outlineLevel="0" collapsed="false">
      <c r="A125" s="17" t="s">
        <v>103</v>
      </c>
      <c r="B125" s="1" t="s">
        <v>84</v>
      </c>
      <c r="C125" s="17" t="s">
        <v>44</v>
      </c>
      <c r="D125" s="18" t="n">
        <v>2</v>
      </c>
      <c r="E125" s="17"/>
      <c r="F125" s="17"/>
    </row>
    <row r="126" customFormat="false" ht="15" hidden="false" customHeight="false" outlineLevel="0" collapsed="false">
      <c r="A126" s="17" t="s">
        <v>103</v>
      </c>
      <c r="B126" s="17" t="s">
        <v>65</v>
      </c>
      <c r="C126" s="17" t="s">
        <v>65</v>
      </c>
      <c r="D126" s="18" t="n">
        <v>1</v>
      </c>
      <c r="E126" s="17"/>
      <c r="F126" s="17"/>
    </row>
    <row r="127" customFormat="false" ht="23.85" hidden="false" customHeight="false" outlineLevel="0" collapsed="false">
      <c r="A127" s="1" t="s">
        <v>104</v>
      </c>
      <c r="B127" s="1" t="s">
        <v>100</v>
      </c>
      <c r="C127" s="1" t="s">
        <v>132</v>
      </c>
      <c r="D127" s="1" t="n">
        <v>9</v>
      </c>
      <c r="E127" s="17" t="s">
        <v>63</v>
      </c>
      <c r="F127" s="17" t="s">
        <v>97</v>
      </c>
    </row>
    <row r="128" customFormat="false" ht="23.85" hidden="false" customHeight="false" outlineLevel="0" collapsed="false">
      <c r="A128" s="1" t="s">
        <v>104</v>
      </c>
      <c r="B128" s="1" t="s">
        <v>101</v>
      </c>
      <c r="C128" s="1" t="s">
        <v>132</v>
      </c>
      <c r="D128" s="1" t="n">
        <v>5</v>
      </c>
      <c r="E128" s="17" t="s">
        <v>63</v>
      </c>
      <c r="F128" s="17" t="s">
        <v>102</v>
      </c>
    </row>
    <row r="129" customFormat="false" ht="15" hidden="false" customHeight="false" outlineLevel="0" collapsed="false">
      <c r="A129" s="1" t="s">
        <v>104</v>
      </c>
      <c r="B129" s="1" t="s">
        <v>46</v>
      </c>
      <c r="C129" s="1" t="s">
        <v>46</v>
      </c>
      <c r="D129" s="1" t="n">
        <v>2</v>
      </c>
      <c r="E129" s="17"/>
      <c r="F129" s="17"/>
    </row>
    <row r="130" customFormat="false" ht="15" hidden="false" customHeight="false" outlineLevel="0" collapsed="false">
      <c r="A130" s="1" t="s">
        <v>104</v>
      </c>
      <c r="B130" s="1" t="s">
        <v>59</v>
      </c>
      <c r="C130" s="1" t="s">
        <v>130</v>
      </c>
      <c r="D130" s="1" t="n">
        <v>2</v>
      </c>
      <c r="E130" s="17"/>
      <c r="F130" s="17"/>
    </row>
    <row r="131" customFormat="false" ht="15" hidden="false" customHeight="false" outlineLevel="0" collapsed="false">
      <c r="A131" s="1" t="s">
        <v>104</v>
      </c>
      <c r="B131" s="1" t="s">
        <v>84</v>
      </c>
      <c r="C131" s="1" t="s">
        <v>44</v>
      </c>
      <c r="D131" s="1" t="n">
        <v>2</v>
      </c>
      <c r="E131" s="17"/>
      <c r="F131" s="17"/>
    </row>
    <row r="132" customFormat="false" ht="15" hidden="false" customHeight="false" outlineLevel="0" collapsed="false">
      <c r="A132" s="1" t="s">
        <v>104</v>
      </c>
      <c r="B132" s="1" t="s">
        <v>65</v>
      </c>
      <c r="C132" s="1" t="s">
        <v>65</v>
      </c>
      <c r="D132" s="1" t="n">
        <v>1</v>
      </c>
      <c r="E132" s="17"/>
      <c r="F132" s="17"/>
    </row>
    <row r="133" customFormat="false" ht="23.85" hidden="false" customHeight="false" outlineLevel="0" collapsed="false">
      <c r="A133" s="1" t="s">
        <v>105</v>
      </c>
      <c r="B133" s="1" t="s">
        <v>106</v>
      </c>
      <c r="C133" s="8" t="s">
        <v>132</v>
      </c>
      <c r="D133" s="1" t="n">
        <v>8</v>
      </c>
      <c r="E133" s="17" t="s">
        <v>63</v>
      </c>
      <c r="F133" s="17" t="s">
        <v>102</v>
      </c>
    </row>
    <row r="134" customFormat="false" ht="23.85" hidden="false" customHeight="false" outlineLevel="0" collapsed="false">
      <c r="A134" s="1" t="s">
        <v>105</v>
      </c>
      <c r="B134" s="1" t="s">
        <v>108</v>
      </c>
      <c r="C134" s="8" t="s">
        <v>132</v>
      </c>
      <c r="D134" s="1" t="n">
        <v>5</v>
      </c>
      <c r="E134" s="17" t="s">
        <v>63</v>
      </c>
      <c r="F134" s="17" t="s">
        <v>102</v>
      </c>
    </row>
    <row r="135" customFormat="false" ht="23.85" hidden="false" customHeight="false" outlineLevel="0" collapsed="false">
      <c r="A135" s="1" t="s">
        <v>105</v>
      </c>
      <c r="B135" s="1" t="s">
        <v>46</v>
      </c>
      <c r="C135" s="8" t="s">
        <v>46</v>
      </c>
      <c r="D135" s="1" t="n">
        <v>2</v>
      </c>
      <c r="E135" s="17" t="s">
        <v>63</v>
      </c>
      <c r="F135" s="17" t="s">
        <v>102</v>
      </c>
    </row>
    <row r="136" customFormat="false" ht="15" hidden="false" customHeight="false" outlineLevel="0" collapsed="false">
      <c r="A136" s="1" t="s">
        <v>105</v>
      </c>
      <c r="B136" s="1" t="s">
        <v>109</v>
      </c>
      <c r="C136" s="8" t="s">
        <v>44</v>
      </c>
      <c r="D136" s="1" t="n">
        <v>2</v>
      </c>
    </row>
    <row r="137" customFormat="false" ht="15" hidden="false" customHeight="false" outlineLevel="0" collapsed="false">
      <c r="A137" s="1" t="s">
        <v>105</v>
      </c>
      <c r="B137" s="1" t="s">
        <v>110</v>
      </c>
      <c r="C137" s="8" t="s">
        <v>65</v>
      </c>
      <c r="D137" s="1" t="n">
        <v>1</v>
      </c>
    </row>
    <row r="138" customFormat="false" ht="15" hidden="false" customHeight="false" outlineLevel="0" collapsed="false">
      <c r="A138" s="1" t="s">
        <v>105</v>
      </c>
      <c r="B138" s="1" t="s">
        <v>111</v>
      </c>
      <c r="C138" s="8" t="s">
        <v>130</v>
      </c>
      <c r="D138" s="1" t="n">
        <v>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6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4"/>
    <col collapsed="false" customWidth="true" hidden="false" outlineLevel="0" max="2" min="2" style="8" width="12"/>
    <col collapsed="false" customWidth="true" hidden="false" outlineLevel="0" max="3" min="3" style="8" width="20"/>
    <col collapsed="false" customWidth="true" hidden="false" outlineLevel="0" max="4" min="4" style="8" width="44"/>
    <col collapsed="false" customWidth="true" hidden="false" outlineLevel="0" max="5" min="5" style="8" width="55"/>
    <col collapsed="false" customWidth="true" hidden="false" outlineLevel="0" max="6" min="6" style="8" width="22"/>
    <col collapsed="false" customWidth="true" hidden="false" outlineLevel="0" max="7" min="7" style="8" width="55"/>
  </cols>
  <sheetData>
    <row r="1" customFormat="false" ht="26" hidden="false" customHeight="true" outlineLevel="0" collapsed="false">
      <c r="A1" s="19" t="s">
        <v>238</v>
      </c>
      <c r="B1" s="19" t="s">
        <v>117</v>
      </c>
      <c r="C1" s="19" t="s">
        <v>112</v>
      </c>
      <c r="D1" s="19" t="s">
        <v>239</v>
      </c>
      <c r="E1" s="19" t="s">
        <v>240</v>
      </c>
      <c r="F1" s="19" t="s">
        <v>241</v>
      </c>
      <c r="G1" s="19" t="s">
        <v>40</v>
      </c>
    </row>
    <row r="2" customFormat="false" ht="34" hidden="false" customHeight="true" outlineLevel="0" collapsed="false">
      <c r="A2" s="17" t="s">
        <v>119</v>
      </c>
      <c r="B2" s="20" t="s">
        <v>122</v>
      </c>
      <c r="C2" s="20" t="s">
        <v>242</v>
      </c>
      <c r="D2" s="20" t="s">
        <v>243</v>
      </c>
      <c r="E2" s="20" t="s">
        <v>244</v>
      </c>
      <c r="F2" s="20" t="s">
        <v>245</v>
      </c>
      <c r="G2" s="17" t="s">
        <v>246</v>
      </c>
    </row>
    <row r="3" customFormat="false" ht="34" hidden="false" customHeight="true" outlineLevel="0" collapsed="false">
      <c r="A3" s="17" t="s">
        <v>135</v>
      </c>
      <c r="B3" s="20" t="s">
        <v>122</v>
      </c>
      <c r="C3" s="20" t="s">
        <v>242</v>
      </c>
      <c r="D3" s="20" t="s">
        <v>247</v>
      </c>
      <c r="E3" s="20" t="s">
        <v>244</v>
      </c>
      <c r="F3" s="20" t="s">
        <v>245</v>
      </c>
      <c r="G3" s="17" t="s">
        <v>246</v>
      </c>
    </row>
    <row r="4" customFormat="false" ht="34" hidden="false" customHeight="true" outlineLevel="0" collapsed="false">
      <c r="A4" s="17" t="s">
        <v>124</v>
      </c>
      <c r="B4" s="20" t="s">
        <v>248</v>
      </c>
      <c r="C4" s="20" t="s">
        <v>249</v>
      </c>
      <c r="D4" s="20" t="s">
        <v>250</v>
      </c>
      <c r="E4" s="20" t="s">
        <v>251</v>
      </c>
      <c r="F4" s="20" t="s">
        <v>252</v>
      </c>
      <c r="G4" s="17" t="s">
        <v>253</v>
      </c>
    </row>
    <row r="5" customFormat="false" ht="34" hidden="false" customHeight="true" outlineLevel="0" collapsed="false">
      <c r="A5" s="17" t="s">
        <v>133</v>
      </c>
      <c r="B5" s="20" t="s">
        <v>248</v>
      </c>
      <c r="C5" s="20" t="s">
        <v>249</v>
      </c>
      <c r="D5" s="20" t="s">
        <v>254</v>
      </c>
      <c r="E5" s="20" t="s">
        <v>251</v>
      </c>
      <c r="F5" s="20" t="s">
        <v>252</v>
      </c>
      <c r="G5" s="17" t="s">
        <v>253</v>
      </c>
    </row>
    <row r="6" customFormat="false" ht="34" hidden="false" customHeight="true" outlineLevel="0" collapsed="false">
      <c r="A6" s="17" t="s">
        <v>134</v>
      </c>
      <c r="B6" s="20" t="s">
        <v>248</v>
      </c>
      <c r="C6" s="20" t="s">
        <v>249</v>
      </c>
      <c r="D6" s="20" t="s">
        <v>255</v>
      </c>
      <c r="E6" s="20" t="s">
        <v>251</v>
      </c>
      <c r="F6" s="20" t="s">
        <v>252</v>
      </c>
      <c r="G6" s="17" t="s">
        <v>253</v>
      </c>
    </row>
    <row r="7" customFormat="false" ht="34" hidden="false" customHeight="true" outlineLevel="0" collapsed="false">
      <c r="A7" s="17" t="s">
        <v>138</v>
      </c>
      <c r="B7" s="20" t="s">
        <v>248</v>
      </c>
      <c r="C7" s="20" t="s">
        <v>249</v>
      </c>
      <c r="D7" s="20" t="s">
        <v>256</v>
      </c>
      <c r="E7" s="20" t="s">
        <v>251</v>
      </c>
      <c r="F7" s="20" t="s">
        <v>252</v>
      </c>
      <c r="G7" s="17" t="s">
        <v>257</v>
      </c>
    </row>
    <row r="8" customFormat="false" ht="34" hidden="false" customHeight="true" outlineLevel="0" collapsed="false">
      <c r="A8" s="17" t="s">
        <v>140</v>
      </c>
      <c r="B8" s="20" t="s">
        <v>248</v>
      </c>
      <c r="C8" s="20" t="s">
        <v>249</v>
      </c>
      <c r="D8" s="20" t="s">
        <v>258</v>
      </c>
      <c r="E8" s="20" t="s">
        <v>251</v>
      </c>
      <c r="F8" s="20" t="s">
        <v>252</v>
      </c>
      <c r="G8" s="17" t="s">
        <v>257</v>
      </c>
    </row>
    <row r="9" customFormat="false" ht="34" hidden="false" customHeight="true" outlineLevel="0" collapsed="false">
      <c r="A9" s="17" t="s">
        <v>128</v>
      </c>
      <c r="B9" s="20" t="s">
        <v>129</v>
      </c>
      <c r="C9" s="20" t="s">
        <v>242</v>
      </c>
      <c r="D9" s="20" t="s">
        <v>259</v>
      </c>
      <c r="E9" s="20" t="s">
        <v>260</v>
      </c>
      <c r="F9" s="20" t="s">
        <v>252</v>
      </c>
      <c r="G9" s="17" t="s">
        <v>261</v>
      </c>
    </row>
    <row r="10" customFormat="false" ht="34" hidden="false" customHeight="true" outlineLevel="0" collapsed="false">
      <c r="A10" s="17" t="s">
        <v>152</v>
      </c>
      <c r="B10" s="20" t="s">
        <v>153</v>
      </c>
      <c r="C10" s="20" t="s">
        <v>242</v>
      </c>
      <c r="D10" s="20" t="s">
        <v>262</v>
      </c>
      <c r="E10" s="20" t="s">
        <v>263</v>
      </c>
      <c r="F10" s="20" t="s">
        <v>252</v>
      </c>
      <c r="G10" s="17" t="s">
        <v>264</v>
      </c>
    </row>
    <row r="11" customFormat="false" ht="34" hidden="false" customHeight="true" outlineLevel="0" collapsed="false">
      <c r="A11" s="17" t="s">
        <v>155</v>
      </c>
      <c r="B11" s="20" t="s">
        <v>153</v>
      </c>
      <c r="C11" s="20" t="s">
        <v>242</v>
      </c>
      <c r="D11" s="20" t="s">
        <v>265</v>
      </c>
      <c r="E11" s="20" t="s">
        <v>263</v>
      </c>
      <c r="F11" s="20" t="s">
        <v>252</v>
      </c>
      <c r="G11" s="17" t="s">
        <v>264</v>
      </c>
    </row>
    <row r="12" customFormat="false" ht="34" hidden="false" customHeight="true" outlineLevel="0" collapsed="false">
      <c r="A12" s="17" t="s">
        <v>157</v>
      </c>
      <c r="B12" s="20" t="s">
        <v>158</v>
      </c>
      <c r="C12" s="20" t="s">
        <v>242</v>
      </c>
      <c r="D12" s="20" t="s">
        <v>266</v>
      </c>
      <c r="E12" s="20" t="s">
        <v>267</v>
      </c>
      <c r="F12" s="20" t="s">
        <v>252</v>
      </c>
      <c r="G12" s="17" t="s">
        <v>268</v>
      </c>
    </row>
    <row r="13" customFormat="false" ht="34" hidden="false" customHeight="true" outlineLevel="0" collapsed="false">
      <c r="A13" s="17" t="s">
        <v>160</v>
      </c>
      <c r="B13" s="20" t="s">
        <v>161</v>
      </c>
      <c r="C13" s="20" t="s">
        <v>242</v>
      </c>
      <c r="D13" s="20" t="s">
        <v>269</v>
      </c>
      <c r="E13" s="20" t="s">
        <v>270</v>
      </c>
      <c r="F13" s="20" t="s">
        <v>252</v>
      </c>
      <c r="G13" s="17" t="s">
        <v>271</v>
      </c>
    </row>
    <row r="14" customFormat="false" ht="34" hidden="false" customHeight="true" outlineLevel="0" collapsed="false">
      <c r="A14" s="17" t="s">
        <v>163</v>
      </c>
      <c r="B14" s="20" t="s">
        <v>164</v>
      </c>
      <c r="C14" s="20" t="s">
        <v>242</v>
      </c>
      <c r="D14" s="20" t="s">
        <v>272</v>
      </c>
      <c r="E14" s="20" t="s">
        <v>273</v>
      </c>
      <c r="F14" s="20" t="s">
        <v>274</v>
      </c>
      <c r="G14" s="17" t="s">
        <v>275</v>
      </c>
    </row>
    <row r="15" customFormat="false" ht="34" hidden="false" customHeight="true" outlineLevel="0" collapsed="false">
      <c r="A15" s="17" t="s">
        <v>165</v>
      </c>
      <c r="B15" s="20" t="s">
        <v>164</v>
      </c>
      <c r="C15" s="20" t="s">
        <v>242</v>
      </c>
      <c r="D15" s="20" t="s">
        <v>276</v>
      </c>
      <c r="E15" s="20" t="s">
        <v>273</v>
      </c>
      <c r="F15" s="20" t="s">
        <v>274</v>
      </c>
      <c r="G15" s="17" t="s">
        <v>275</v>
      </c>
    </row>
    <row r="16" customFormat="false" ht="34" hidden="false" customHeight="true" outlineLevel="0" collapsed="false">
      <c r="A16" s="17" t="s">
        <v>167</v>
      </c>
      <c r="B16" s="17" t="s">
        <v>168</v>
      </c>
      <c r="C16" s="17" t="s">
        <v>242</v>
      </c>
      <c r="D16" s="17" t="s">
        <v>277</v>
      </c>
      <c r="E16" s="17" t="s">
        <v>273</v>
      </c>
      <c r="F16" s="17" t="s">
        <v>274</v>
      </c>
      <c r="G16" s="17" t="s">
        <v>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2026-07-19T22:38:58Z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
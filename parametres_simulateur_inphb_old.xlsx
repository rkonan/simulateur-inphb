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coefficients_bac" sheetId="2" state="visible" r:id="rId4"/>
    <sheet name="coefficients_inphb" sheetId="3" state="visible" r:id="rId5"/>
    <sheet name="eligibilite_inphb" sheetId="4" state="visible" r:id="rId6"/>
    <sheet name="places_estimees" sheetId="5" state="visible" r:id="rId7"/>
    <sheet name="mentions_inphb" sheetId="6" state="visible" r:id="rId8"/>
    <sheet name="stats_series_2025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<sst xmlns="http://schemas.openxmlformats.org/spreadsheetml/2006/main" count="856" uniqueCount="207">
  <si>
    <t xml:space="preserve">Simulateur INP-HB, fichiers de paramétrage</t>
  </si>
  <si>
    <t xml:space="preserve">Feuille</t>
  </si>
  <si>
    <t xml:space="preserve">Rôle</t>
  </si>
  <si>
    <t xml:space="preserve">Statut</t>
  </si>
  <si>
    <t xml:space="preserve">coefficients_bac</t>
  </si>
  <si>
    <t xml:space="preserve">Coefficients du bac par série générale. Les séries techniques restent à compléter.</t>
  </si>
  <si>
    <t xml:space="preserve">Partiel</t>
  </si>
  <si>
    <t xml:space="preserve">coefficients_inphb</t>
  </si>
  <si>
    <t xml:space="preserve">Formules de moyenne de dossier INP-HB extraites du document de calcul.</t>
  </si>
  <si>
    <t xml:space="preserve">Complet pour les formules visibles</t>
  </si>
  <si>
    <t xml:space="preserve">eligibilite_inphb</t>
  </si>
  <si>
    <t xml:space="preserve">Correspondance filières INP-HB et séries ou BT admissibles.</t>
  </si>
  <si>
    <t xml:space="preserve">Extrait brochure 2025</t>
  </si>
  <si>
    <t xml:space="preserve">places_estimees</t>
  </si>
  <si>
    <t xml:space="preserve">Table à renseigner avec tes approximations de places ou de présélectionnés.</t>
  </si>
  <si>
    <t xml:space="preserve">À compléter</t>
  </si>
  <si>
    <t xml:space="preserve">mentions_inphb</t>
  </si>
  <si>
    <t xml:space="preserve">Distribution des mentions des 900 admis INP-HB 2025.</t>
  </si>
  <si>
    <t xml:space="preserve">Saisie</t>
  </si>
  <si>
    <t xml:space="preserve">stats_series_2025</t>
  </si>
  <si>
    <t xml:space="preserve">Statistiques nationales BAC 2025 par série issues de l'image fournie.</t>
  </si>
  <si>
    <t xml:space="preserve">Sources</t>
  </si>
  <si>
    <t xml:space="preserve">Calcul moyenne dossier INP-HB</t>
  </si>
  <si>
    <t xml:space="preserve">Document PDF fourni : 606772263-Calcul-Moyenne-concours-BAC-INP-HBpdf.pdf</t>
  </si>
  <si>
    <t xml:space="preserve">Brochure concours BAC 2025</t>
  </si>
  <si>
    <t xml:space="preserve">Document PDF fourni : BROCHURE CONCOURS BAC25_BetterQuality.pdf</t>
  </si>
  <si>
    <t xml:space="preserve">Coefficients BAC généraux</t>
  </si>
  <si>
    <t xml:space="preserve">Images Portail de l'Orientation fournies dans la conversation</t>
  </si>
  <si>
    <t xml:space="preserve">serie</t>
  </si>
  <si>
    <t xml:space="preserve">matiere</t>
  </si>
  <si>
    <t xml:space="preserve">coefficient</t>
  </si>
  <si>
    <t xml:space="preserve">source</t>
  </si>
  <si>
    <t xml:space="preserve">commentaire</t>
  </si>
  <si>
    <t xml:space="preserve">A1</t>
  </si>
  <si>
    <t xml:space="preserve">Philosophie</t>
  </si>
  <si>
    <t xml:space="preserve">Image Portail de l'Orientation</t>
  </si>
  <si>
    <t xml:space="preserve">Français</t>
  </si>
  <si>
    <t xml:space="preserve">3 écrit + 1 oral</t>
  </si>
  <si>
    <t xml:space="preserve">Maths</t>
  </si>
  <si>
    <t xml:space="preserve">Histoire-Géo</t>
  </si>
  <si>
    <t xml:space="preserve">LV1</t>
  </si>
  <si>
    <t xml:space="preserve">écrit</t>
  </si>
  <si>
    <t xml:space="preserve">LV2</t>
  </si>
  <si>
    <t xml:space="preserve">oral</t>
  </si>
  <si>
    <t xml:space="preserve">A2</t>
  </si>
  <si>
    <t xml:space="preserve">2 écrit + 1 oral</t>
  </si>
  <si>
    <t xml:space="preserve">B</t>
  </si>
  <si>
    <t xml:space="preserve">ScEco</t>
  </si>
  <si>
    <t xml:space="preserve">Sciences économiques et sociales</t>
  </si>
  <si>
    <t xml:space="preserve">Langue</t>
  </si>
  <si>
    <t xml:space="preserve">C</t>
  </si>
  <si>
    <t xml:space="preserve">Sciences Physiques</t>
  </si>
  <si>
    <t xml:space="preserve">SVT</t>
  </si>
  <si>
    <t xml:space="preserve">D</t>
  </si>
  <si>
    <t xml:space="preserve">E</t>
  </si>
  <si>
    <t xml:space="preserve">F1</t>
  </si>
  <si>
    <t xml:space="preserve">F2</t>
  </si>
  <si>
    <t xml:space="preserve">F3</t>
  </si>
  <si>
    <t xml:space="preserve">F4</t>
  </si>
  <si>
    <t xml:space="preserve">F7</t>
  </si>
  <si>
    <t xml:space="preserve">G2</t>
  </si>
  <si>
    <t xml:space="preserve">cycle</t>
  </si>
  <si>
    <t xml:space="preserve">concours_filiere</t>
  </si>
  <si>
    <t xml:space="preserve">series_autorisees</t>
  </si>
  <si>
    <t xml:space="preserve">coefficient_dossier</t>
  </si>
  <si>
    <t xml:space="preserve">denominateur</t>
  </si>
  <si>
    <t xml:space="preserve">source_page</t>
  </si>
  <si>
    <t xml:space="preserve">formule</t>
  </si>
  <si>
    <t xml:space="preserve">Court</t>
  </si>
  <si>
    <t xml:space="preserve">GAE</t>
  </si>
  <si>
    <t xml:space="preserve">A1,A2</t>
  </si>
  <si>
    <t xml:space="preserve">Calcul moyenne p.3</t>
  </si>
  <si>
    <t xml:space="preserve">Français×2 + Anglais×2 + Maths×3 / 7</t>
  </si>
  <si>
    <t xml:space="preserve">Anglais</t>
  </si>
  <si>
    <t xml:space="preserve">Long</t>
  </si>
  <si>
    <t xml:space="preserve">ECG</t>
  </si>
  <si>
    <t xml:space="preserve">Français×3 + Anglais×3 + Maths×5 / 11</t>
  </si>
  <si>
    <t xml:space="preserve">Calcul moyenne p.4</t>
  </si>
  <si>
    <t xml:space="preserve">Français×2 + Anglais×2 + Maths×3 + ScEco×3 / 10</t>
  </si>
  <si>
    <t xml:space="preserve">Français×3 + Anglais×3 + Maths×5 + ScEco×5 / 16</t>
  </si>
  <si>
    <t xml:space="preserve">C,D</t>
  </si>
  <si>
    <t xml:space="preserve">Calcul moyenne p.5</t>
  </si>
  <si>
    <t xml:space="preserve">DTS_ESI_GC_MG</t>
  </si>
  <si>
    <t xml:space="preserve">Français×1 + Anglais×1 + Maths×2 + SP×2 / 6</t>
  </si>
  <si>
    <t xml:space="preserve">SP</t>
  </si>
  <si>
    <t xml:space="preserve">TSA</t>
  </si>
  <si>
    <t xml:space="preserve">Français×1 + Anglais×1 + Maths×2 + SP×2 + SVT×2 / 8</t>
  </si>
  <si>
    <t xml:space="preserve">BCPST</t>
  </si>
  <si>
    <t xml:space="preserve">Français×1 + Anglais×1 + Maths×3 + SP×3 + SVT×3 / 11</t>
  </si>
  <si>
    <t xml:space="preserve">MPSI</t>
  </si>
  <si>
    <t xml:space="preserve">Français×1 + Anglais×1 + Maths×4 + SP×4 / 10</t>
  </si>
  <si>
    <t xml:space="preserve">FC</t>
  </si>
  <si>
    <t xml:space="preserve">G2,BTCPT</t>
  </si>
  <si>
    <t xml:space="preserve">Calcul moyenne p.6</t>
  </si>
  <si>
    <t xml:space="preserve">Français×2 + Anglais×2 + Maths×3 + MT×3 / 10</t>
  </si>
  <si>
    <t xml:space="preserve">MT</t>
  </si>
  <si>
    <t xml:space="preserve">E,F,BT</t>
  </si>
  <si>
    <t xml:space="preserve">Calcul moyenne p.7</t>
  </si>
  <si>
    <t xml:space="preserve">Français×1 + Anglais×1 + Maths×2 + SP×2 + MT×3 / 9</t>
  </si>
  <si>
    <t xml:space="preserve">MP2I</t>
  </si>
  <si>
    <t xml:space="preserve">Français×1 + Anglais×1 + Maths×4 + SP×4 + MT×2 / 12</t>
  </si>
  <si>
    <t xml:space="preserve">PCSI</t>
  </si>
  <si>
    <t xml:space="preserve">Français×1 + Anglais×1 + Maths×4 + SP×5+ MT×2 / 13</t>
  </si>
  <si>
    <t xml:space="preserve">Admission court</t>
  </si>
  <si>
    <t xml:space="preserve">ESA_ESI_ESMG_ESTP</t>
  </si>
  <si>
    <t xml:space="preserve">C,D,E,F,BT</t>
  </si>
  <si>
    <t xml:space="preserve">Calcul moyenne p.8</t>
  </si>
  <si>
    <t xml:space="preserve">Anglais×1 + Culture générale×1 + Culture scientifique×4 / 6</t>
  </si>
  <si>
    <t xml:space="preserve">Culture générale</t>
  </si>
  <si>
    <t xml:space="preserve">Culture scientifique</t>
  </si>
  <si>
    <t xml:space="preserve">ESCAE</t>
  </si>
  <si>
    <t xml:space="preserve">A1,A2,B,C,D,G2,BT</t>
  </si>
  <si>
    <t xml:space="preserve">Anglais×2 + Culture générale×2 + Culture scientifique×3 / 7</t>
  </si>
  <si>
    <t xml:space="preserve">Admission prépa</t>
  </si>
  <si>
    <t xml:space="preserve">C,E</t>
  </si>
  <si>
    <t xml:space="preserve">Calcul moyenne p.9</t>
  </si>
  <si>
    <t xml:space="preserve">Anglais×1 + Culture générale×1 + Culture scientifique×3 / 5</t>
  </si>
  <si>
    <t xml:space="preserve">A1,B,C,D</t>
  </si>
  <si>
    <t xml:space="preserve">Anglais×3 + Culture générale×3 + Culture scientifique×5 / 11</t>
  </si>
  <si>
    <t xml:space="preserve">ecole</t>
  </si>
  <si>
    <t xml:space="preserve">groupe_filiere</t>
  </si>
  <si>
    <t xml:space="preserve">specialite</t>
  </si>
  <si>
    <t xml:space="preserve">series_ou_BT_admissibles</t>
  </si>
  <si>
    <t xml:space="preserve">Gestion et Administration des Entreprises</t>
  </si>
  <si>
    <t xml:space="preserve">A1,A2,B,C,D</t>
  </si>
  <si>
    <t xml:space="preserve">Brochure p.3</t>
  </si>
  <si>
    <t xml:space="preserve">GMC</t>
  </si>
  <si>
    <t xml:space="preserve">Gestion commerciale, Marketing et Communication</t>
  </si>
  <si>
    <t xml:space="preserve">GRH</t>
  </si>
  <si>
    <t xml:space="preserve">Gestion des Ressources Humaines</t>
  </si>
  <si>
    <t xml:space="preserve">GSC</t>
  </si>
  <si>
    <t xml:space="preserve">Gestion de la Supply Chain</t>
  </si>
  <si>
    <t xml:space="preserve">FCA</t>
  </si>
  <si>
    <t xml:space="preserve">Finance, Comptabilité et Assurance</t>
  </si>
  <si>
    <t xml:space="preserve">B,C,D,G2,BTCOMPTA</t>
  </si>
  <si>
    <t xml:space="preserve">CCA</t>
  </si>
  <si>
    <t xml:space="preserve">Comptabilité et Contrôle, Audit</t>
  </si>
  <si>
    <t xml:space="preserve">BFA</t>
  </si>
  <si>
    <t xml:space="preserve">Banque, Finance et Assurance</t>
  </si>
  <si>
    <t xml:space="preserve">ESI</t>
  </si>
  <si>
    <t xml:space="preserve">STIC</t>
  </si>
  <si>
    <t xml:space="preserve">EIT, INFO</t>
  </si>
  <si>
    <t xml:space="preserve">C,D,F2,BTSTIC</t>
  </si>
  <si>
    <t xml:space="preserve">STGI</t>
  </si>
  <si>
    <t xml:space="preserve">EAI, PMSI, MA, MBM</t>
  </si>
  <si>
    <t xml:space="preserve">C,D,E,F1,F3,BTSTGI</t>
  </si>
  <si>
    <t xml:space="preserve">ESTP</t>
  </si>
  <si>
    <t xml:space="preserve">GC</t>
  </si>
  <si>
    <t xml:space="preserve">GCTP, GCGT</t>
  </si>
  <si>
    <t xml:space="preserve">C,D,E,F4,BTGC</t>
  </si>
  <si>
    <t xml:space="preserve">ESMG</t>
  </si>
  <si>
    <t xml:space="preserve">MG</t>
  </si>
  <si>
    <t xml:space="preserve">MINES, EEM</t>
  </si>
  <si>
    <t xml:space="preserve">C,D,E,BTMP</t>
  </si>
  <si>
    <t xml:space="preserve">ESCPE</t>
  </si>
  <si>
    <t xml:space="preserve">PME</t>
  </si>
  <si>
    <t xml:space="preserve">Pétrole et Maintenance des Equipements</t>
  </si>
  <si>
    <t xml:space="preserve">CGP</t>
  </si>
  <si>
    <t xml:space="preserve">Chimie Industrielle</t>
  </si>
  <si>
    <t xml:space="preserve">C,D,BTCGP</t>
  </si>
  <si>
    <t xml:space="preserve">ESAS</t>
  </si>
  <si>
    <t xml:space="preserve">TSAERO</t>
  </si>
  <si>
    <t xml:space="preserve">Techniciens Supérieurs en Aéronautique</t>
  </si>
  <si>
    <t xml:space="preserve">C,D,E,F1,F2,F3</t>
  </si>
  <si>
    <t xml:space="preserve">ESA</t>
  </si>
  <si>
    <t xml:space="preserve">Agronomie, agro-industrie, eau, cultures</t>
  </si>
  <si>
    <t xml:space="preserve">C,D,F7,BTAGRO-INDUS</t>
  </si>
  <si>
    <t xml:space="preserve">EPGE</t>
  </si>
  <si>
    <t xml:space="preserve">Biologie, Chimie, Physique et Sciences de la Terre</t>
  </si>
  <si>
    <t xml:space="preserve">Brochure p.4</t>
  </si>
  <si>
    <t xml:space="preserve">Economique et Commerciale Générale</t>
  </si>
  <si>
    <t xml:space="preserve">PSI, PC</t>
  </si>
  <si>
    <t xml:space="preserve">C,D,E</t>
  </si>
  <si>
    <t xml:space="preserve">MP</t>
  </si>
  <si>
    <t xml:space="preserve">MPI, MP</t>
  </si>
  <si>
    <t xml:space="preserve">LSA</t>
  </si>
  <si>
    <t xml:space="preserve">Littéraire et Scientifique Appliqués</t>
  </si>
  <si>
    <t xml:space="preserve">A1,A2,C,D</t>
  </si>
  <si>
    <t xml:space="preserve">candidats_simules</t>
  </si>
  <si>
    <t xml:space="preserve">actif</t>
  </si>
  <si>
    <t xml:space="preserve">À renseigner</t>
  </si>
  <si>
    <t xml:space="preserve">GAE_GMC_GRH_GSC</t>
  </si>
  <si>
    <t xml:space="preserve">FCA_CCA_BFA</t>
  </si>
  <si>
    <t xml:space="preserve">mention</t>
  </si>
  <si>
    <t xml:space="preserve">borne_min_incluse</t>
  </si>
  <si>
    <t xml:space="preserve">borne_max_exclue</t>
  </si>
  <si>
    <t xml:space="preserve">effectif_inphb_2025</t>
  </si>
  <si>
    <t xml:space="preserve">proportion</t>
  </si>
  <si>
    <t xml:space="preserve">Passable</t>
  </si>
  <si>
    <t xml:space="preserve">Assez Bien</t>
  </si>
  <si>
    <t xml:space="preserve">Bien</t>
  </si>
  <si>
    <t xml:space="preserve">Très Bien</t>
  </si>
  <si>
    <t xml:space="preserve">inscrits_F</t>
  </si>
  <si>
    <t xml:space="preserve">inscrits_M</t>
  </si>
  <si>
    <t xml:space="preserve">inscrits_T</t>
  </si>
  <si>
    <t xml:space="preserve">presents_F</t>
  </si>
  <si>
    <t xml:space="preserve">presents_M</t>
  </si>
  <si>
    <t xml:space="preserve">presents_T</t>
  </si>
  <si>
    <t xml:space="preserve">admis_F</t>
  </si>
  <si>
    <t xml:space="preserve">admis_M</t>
  </si>
  <si>
    <t xml:space="preserve">admis_T</t>
  </si>
  <si>
    <t xml:space="preserve">taux_admis_presents_T</t>
  </si>
  <si>
    <t xml:space="preserve">G1</t>
  </si>
  <si>
    <t xml:space="preserve">H1</t>
  </si>
  <si>
    <t xml:space="preserve">H2</t>
  </si>
  <si>
    <t xml:space="preserve">H3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</si>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</sst>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F172A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34E4A"/>
        <bgColor rgb="FF333333"/>
      </patternFill>
    </fill>
    <fill>
      <patternFill patternType="solid">
        <fgColor rgb="FF0F766E"/>
        <bgColor rgb="FF008080"/>
      </patternFill>
    </fill>
    <fill>
      <patternFill patternType="solid">
        <fgColor rgb="FFCCFB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4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4E4A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oeffBac" displayName="TblCoeffBac" ref="A1:E43" headerRowCount="1" totalsRowCount="0" totalsRowShown="0">
  <tableColumns count="5">
    <tableColumn id="1" name="serie"/>
    <tableColumn id="2" name="matiere"/>
    <tableColumn id="3" name="coefficient"/>
    <tableColumn id="4" name="source"/>
    <tableColumn id="5" name="commentaire"/>
  </tableColumns>
</table>
</file>

<file path=xl/tables/table2.xml><?xml version="1.0" encoding="utf-8"?>
<table xmlns="http://schemas.openxmlformats.org/spreadsheetml/2006/main" id="2" name="TblCoeffINPHB" displayName="TblCoeffINPHB" ref="A1:H78" headerRowCount="1" totalsRowCount="0" totalsRowShown="0">
  <tableColumns count="8">
    <tableColumn id="1" name="cycle"/>
    <tableColumn id="2" name="concours_filiere"/>
    <tableColumn id="3" name="series_autorisees"/>
    <tableColumn id="4" name="matiere"/>
    <tableColumn id="5" name="coefficient_dossier"/>
    <tableColumn id="6" name="denominateur"/>
    <tableColumn id="7" name="source_page"/>
    <tableColumn id="8" name="formule"/>
  </tableColumns>
</table>
</file>

<file path=xl/tables/table3.xml><?xml version="1.0" encoding="utf-8"?>
<table xmlns="http://schemas.openxmlformats.org/spreadsheetml/2006/main" id="3" name="TblEligibilite" displayName="TblEligibilite" ref="A1:F22" headerRowCount="1" totalsRowCount="0" totalsRowShown="0">
  <tableColumns count="6">
    <tableColumn id="1" name="cycle"/>
    <tableColumn id="2" name="ecole"/>
    <tableColumn id="3" name="groupe_filiere"/>
    <tableColumn id="4" name="specialite"/>
    <tableColumn id="5" name="series_ou_BT_admissibles"/>
    <tableColumn id="6" name="source_page"/>
  </tableColumns>
</table>
</file>

<file path=xl/tables/table4.xml><?xml version="1.0" encoding="utf-8"?>
<table xmlns="http://schemas.openxmlformats.org/spreadsheetml/2006/main" id="4" name="TblMentions" displayName="TblMentions" ref="A1:E5" headerRowCount="1" totalsRowCount="0" totalsRowShown="0">
  <tableColumns count="5">
    <tableColumn id="1" name="mention"/>
    <tableColumn id="2" name="borne_min_incluse"/>
    <tableColumn id="3" name="borne_max_exclue"/>
    <tableColumn id="4" name="effectif_inphb_2025"/>
    <tableColumn id="5" name="proportion"/>
  </tableColumns>
</table>
</file>

<file path=xl/tables/table5.xml><?xml version="1.0" encoding="utf-8"?>
<table xmlns="http://schemas.openxmlformats.org/spreadsheetml/2006/main" id="5" name="TblPlaces" displayName="TblPlaces" ref="A1:F17" headerRowCount="1" totalsRowCount="0" totalsRowShown="0">
  <tableColumns count="6">
    <tableColumn id="1" name="cycle"/>
    <tableColumn id="2" name="groupe_filiere"/>
    <tableColumn id="3" name="places_estimees"/>
    <tableColumn id="4" name="candidats_simules"/>
    <tableColumn id="5" name="actif"/>
    <tableColumn id="6" name="commentaire"/>
  </tableColumns>
</table>
</file>

<file path=xl/tables/table6.xml><?xml version="1.0" encoding="utf-8"?>
<table xmlns="http://schemas.openxmlformats.org/spreadsheetml/2006/main" id="6" name="TblStatsSeries" displayName="TblStatsSeries" ref="A1:K18" headerRowCount="1" totalsRowCount="0" totalsRowShown="0">
  <tableColumns count="11">
    <tableColumn id="1" name="serie"/>
    <tableColumn id="2" name="inscrits_F"/>
    <tableColumn id="3" name="inscrits_M"/>
    <tableColumn id="4" name="inscrits_T"/>
    <tableColumn id="5" name="presents_F"/>
    <tableColumn id="6" name="presents_M"/>
    <tableColumn id="7" name="presents_T"/>
    <tableColumn id="8" name="admis_F"/>
    <tableColumn id="9" name="admis_M"/>
    <tableColumn id="10" name="admis_T"/>
    <tableColumn id="11" name="taux_admis_presents_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24.98"/>
    <col collapsed="false" customWidth="true" hidden="false" outlineLevel="0" max="2" min="2" style="1" width="68.11"/>
    <col collapsed="false" customWidth="true" hidden="false" outlineLevel="0" max="3" min="3" style="1" width="20.43"/>
  </cols>
  <sheetData>
    <row r="1" customFormat="false" ht="16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1</v>
      </c>
      <c r="B3" s="4" t="s">
        <v>2</v>
      </c>
      <c r="C3" s="4" t="s">
        <v>3</v>
      </c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3" t="s">
        <v>4</v>
      </c>
      <c r="B4" s="3" t="s">
        <v>5</v>
      </c>
      <c r="C4" s="3" t="s">
        <v>6</v>
      </c>
      <c r="D4" s="3"/>
      <c r="E4" s="3"/>
      <c r="F4" s="3"/>
      <c r="G4" s="3"/>
      <c r="H4" s="3"/>
      <c r="I4" s="3"/>
      <c r="J4" s="3"/>
      <c r="K4" s="3"/>
    </row>
    <row r="5" customFormat="false" ht="15" hidden="false" customHeight="true" outlineLevel="0" collapsed="false">
      <c r="A5" s="3" t="s">
        <v>7</v>
      </c>
      <c r="B5" s="3" t="s">
        <v>8</v>
      </c>
      <c r="C5" s="3" t="s">
        <v>9</v>
      </c>
      <c r="D5" s="3"/>
      <c r="E5" s="3"/>
      <c r="F5" s="3"/>
      <c r="G5" s="3"/>
      <c r="H5" s="3"/>
      <c r="I5" s="3"/>
      <c r="J5" s="3"/>
      <c r="K5" s="3"/>
    </row>
    <row r="6" customFormat="false" ht="15" hidden="false" customHeight="true" outlineLevel="0" collapsed="false">
      <c r="A6" s="3" t="s">
        <v>10</v>
      </c>
      <c r="B6" s="3" t="s">
        <v>11</v>
      </c>
      <c r="C6" s="3" t="s">
        <v>12</v>
      </c>
      <c r="D6" s="3"/>
      <c r="E6" s="3"/>
      <c r="F6" s="3"/>
      <c r="G6" s="3"/>
      <c r="H6" s="3"/>
      <c r="I6" s="3"/>
      <c r="J6" s="3"/>
      <c r="K6" s="3"/>
    </row>
    <row r="7" customFormat="false" ht="15" hidden="false" customHeight="true" outlineLevel="0" collapsed="false">
      <c r="A7" s="3" t="s">
        <v>13</v>
      </c>
      <c r="B7" s="3" t="s">
        <v>14</v>
      </c>
      <c r="C7" s="3" t="s">
        <v>15</v>
      </c>
      <c r="D7" s="3"/>
      <c r="E7" s="3"/>
      <c r="F7" s="3"/>
      <c r="G7" s="3"/>
      <c r="H7" s="3"/>
      <c r="I7" s="3"/>
      <c r="J7" s="3"/>
      <c r="K7" s="3"/>
    </row>
    <row r="8" customFormat="false" ht="15" hidden="false" customHeight="true" outlineLevel="0" collapsed="false">
      <c r="A8" s="3" t="s">
        <v>16</v>
      </c>
      <c r="B8" s="3" t="s">
        <v>17</v>
      </c>
      <c r="C8" s="3" t="s">
        <v>18</v>
      </c>
      <c r="D8" s="3"/>
      <c r="E8" s="3"/>
      <c r="F8" s="3"/>
      <c r="G8" s="3"/>
      <c r="H8" s="3"/>
      <c r="I8" s="3"/>
      <c r="J8" s="3"/>
      <c r="K8" s="3"/>
    </row>
    <row r="9" customFormat="false" ht="15" hidden="false" customHeight="true" outlineLevel="0" collapsed="false">
      <c r="A9" s="3" t="s">
        <v>19</v>
      </c>
      <c r="B9" s="3" t="s">
        <v>20</v>
      </c>
      <c r="C9" s="3" t="s">
        <v>18</v>
      </c>
      <c r="D9" s="3"/>
      <c r="E9" s="3"/>
      <c r="F9" s="3"/>
      <c r="G9" s="3"/>
      <c r="H9" s="3"/>
      <c r="I9" s="3"/>
      <c r="J9" s="3"/>
      <c r="K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true" outlineLevel="0" collapsed="false">
      <c r="A11" s="5" t="s">
        <v>21</v>
      </c>
      <c r="B11" s="5"/>
      <c r="C11" s="5"/>
      <c r="D11" s="5"/>
      <c r="E11" s="5"/>
      <c r="F11" s="5"/>
      <c r="G11" s="5"/>
      <c r="H11" s="3"/>
      <c r="I11" s="3"/>
      <c r="J11" s="3"/>
      <c r="K11" s="3"/>
    </row>
    <row r="12" customFormat="false" ht="15" hidden="false" customHeight="true" outlineLevel="0" collapsed="false">
      <c r="A12" s="3" t="s">
        <v>22</v>
      </c>
      <c r="B12" s="3" t="s">
        <v>23</v>
      </c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true" outlineLevel="0" collapsed="false">
      <c r="A13" s="3" t="s">
        <v>24</v>
      </c>
      <c r="B13" s="3" t="s">
        <v>25</v>
      </c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true" outlineLevel="0" collapsed="false">
      <c r="A14" s="3" t="s">
        <v>26</v>
      </c>
      <c r="B14" s="3" t="s">
        <v>27</v>
      </c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mergeCells count="2">
    <mergeCell ref="A1:G1"/>
    <mergeCell ref="A11:G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38" activeCellId="0" sqref="A38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27.24"/>
    <col collapsed="false" customWidth="true" hidden="false" outlineLevel="0" max="3" min="3" style="1" width="15.89"/>
    <col collapsed="false" customWidth="true" hidden="false" outlineLevel="0" max="4" min="4" style="1" width="36.32"/>
    <col collapsed="false" customWidth="true" hidden="false" outlineLevel="0" max="5" min="5" style="1" width="39.73"/>
  </cols>
  <sheetData>
    <row r="1" customFormat="false" ht="15" hidden="false" customHeight="tru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3" t="s">
        <v>33</v>
      </c>
      <c r="B2" s="3" t="s">
        <v>34</v>
      </c>
      <c r="C2" s="3" t="n">
        <v>5</v>
      </c>
      <c r="D2" s="3" t="s">
        <v>35</v>
      </c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 t="s">
        <v>33</v>
      </c>
      <c r="B3" s="3" t="s">
        <v>36</v>
      </c>
      <c r="C3" s="3" t="n">
        <v>4</v>
      </c>
      <c r="D3" s="3" t="s">
        <v>35</v>
      </c>
      <c r="E3" s="3" t="s">
        <v>37</v>
      </c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3" t="s">
        <v>33</v>
      </c>
      <c r="B4" s="3" t="s">
        <v>38</v>
      </c>
      <c r="C4" s="3" t="n">
        <v>3</v>
      </c>
      <c r="D4" s="3" t="s">
        <v>35</v>
      </c>
      <c r="E4" s="3"/>
      <c r="F4" s="3"/>
      <c r="G4" s="3"/>
      <c r="H4" s="3"/>
      <c r="I4" s="3"/>
      <c r="J4" s="3"/>
      <c r="K4" s="3"/>
    </row>
    <row r="5" customFormat="false" ht="15" hidden="false" customHeight="true" outlineLevel="0" collapsed="false">
      <c r="A5" s="3" t="s">
        <v>33</v>
      </c>
      <c r="B5" s="3" t="s">
        <v>39</v>
      </c>
      <c r="C5" s="3" t="n">
        <v>3</v>
      </c>
      <c r="D5" s="3" t="s">
        <v>35</v>
      </c>
      <c r="E5" s="3"/>
      <c r="F5" s="3"/>
      <c r="G5" s="3"/>
      <c r="H5" s="3"/>
      <c r="I5" s="3"/>
      <c r="J5" s="3"/>
      <c r="K5" s="3"/>
    </row>
    <row r="6" customFormat="false" ht="15" hidden="false" customHeight="true" outlineLevel="0" collapsed="false">
      <c r="A6" s="3" t="s">
        <v>33</v>
      </c>
      <c r="B6" s="3" t="s">
        <v>40</v>
      </c>
      <c r="C6" s="3" t="n">
        <v>4</v>
      </c>
      <c r="D6" s="3" t="s">
        <v>35</v>
      </c>
      <c r="E6" s="3" t="s">
        <v>41</v>
      </c>
      <c r="F6" s="3"/>
      <c r="G6" s="3"/>
      <c r="H6" s="3"/>
      <c r="I6" s="3"/>
      <c r="J6" s="3"/>
      <c r="K6" s="3"/>
    </row>
    <row r="7" customFormat="false" ht="15" hidden="false" customHeight="true" outlineLevel="0" collapsed="false">
      <c r="A7" s="3" t="s">
        <v>33</v>
      </c>
      <c r="B7" s="3" t="s">
        <v>42</v>
      </c>
      <c r="C7" s="3" t="n">
        <v>1</v>
      </c>
      <c r="D7" s="3" t="s">
        <v>35</v>
      </c>
      <c r="E7" s="3" t="s">
        <v>43</v>
      </c>
      <c r="F7" s="3"/>
      <c r="G7" s="3"/>
      <c r="H7" s="3"/>
      <c r="I7" s="3"/>
      <c r="J7" s="3"/>
      <c r="K7" s="3"/>
    </row>
    <row r="8" customFormat="false" ht="15" hidden="false" customHeight="true" outlineLevel="0" collapsed="false">
      <c r="A8" s="3" t="s">
        <v>44</v>
      </c>
      <c r="B8" s="3" t="s">
        <v>34</v>
      </c>
      <c r="C8" s="3" t="n">
        <v>5</v>
      </c>
      <c r="D8" s="3" t="s">
        <v>35</v>
      </c>
      <c r="E8" s="3"/>
      <c r="F8" s="3"/>
      <c r="G8" s="3"/>
      <c r="H8" s="3"/>
      <c r="I8" s="3"/>
      <c r="J8" s="3"/>
      <c r="K8" s="3"/>
    </row>
    <row r="9" customFormat="false" ht="15" hidden="false" customHeight="true" outlineLevel="0" collapsed="false">
      <c r="A9" s="3" t="s">
        <v>44</v>
      </c>
      <c r="B9" s="3" t="s">
        <v>36</v>
      </c>
      <c r="C9" s="3" t="n">
        <v>4</v>
      </c>
      <c r="D9" s="3" t="s">
        <v>35</v>
      </c>
      <c r="E9" s="3" t="s">
        <v>37</v>
      </c>
      <c r="F9" s="3"/>
      <c r="G9" s="3"/>
      <c r="H9" s="3"/>
      <c r="I9" s="3"/>
      <c r="J9" s="3"/>
      <c r="K9" s="3"/>
    </row>
    <row r="10" customFormat="false" ht="15" hidden="false" customHeight="true" outlineLevel="0" collapsed="false">
      <c r="A10" s="3" t="s">
        <v>44</v>
      </c>
      <c r="B10" s="3" t="s">
        <v>40</v>
      </c>
      <c r="C10" s="3" t="n">
        <v>3</v>
      </c>
      <c r="D10" s="3" t="s">
        <v>35</v>
      </c>
      <c r="E10" s="3" t="s">
        <v>45</v>
      </c>
      <c r="F10" s="3"/>
      <c r="G10" s="3"/>
      <c r="H10" s="3"/>
      <c r="I10" s="3"/>
      <c r="J10" s="3"/>
      <c r="K10" s="3"/>
    </row>
    <row r="11" customFormat="false" ht="15" hidden="false" customHeight="true" outlineLevel="0" collapsed="false">
      <c r="A11" s="3" t="s">
        <v>44</v>
      </c>
      <c r="B11" s="3" t="s">
        <v>39</v>
      </c>
      <c r="C11" s="3" t="n">
        <v>3</v>
      </c>
      <c r="D11" s="3" t="s">
        <v>35</v>
      </c>
      <c r="E11" s="3"/>
      <c r="F11" s="3"/>
      <c r="G11" s="3"/>
      <c r="H11" s="3"/>
      <c r="I11" s="3"/>
      <c r="J11" s="3"/>
      <c r="K11" s="3"/>
    </row>
    <row r="12" customFormat="false" ht="15" hidden="false" customHeight="true" outlineLevel="0" collapsed="false">
      <c r="A12" s="3" t="s">
        <v>44</v>
      </c>
      <c r="B12" s="3" t="s">
        <v>42</v>
      </c>
      <c r="C12" s="3" t="n">
        <v>3</v>
      </c>
      <c r="D12" s="3" t="s">
        <v>35</v>
      </c>
      <c r="E12" s="3" t="s">
        <v>45</v>
      </c>
      <c r="F12" s="3"/>
      <c r="G12" s="3"/>
      <c r="H12" s="3"/>
      <c r="I12" s="3"/>
      <c r="J12" s="3"/>
      <c r="K12" s="3"/>
    </row>
    <row r="13" customFormat="false" ht="15" hidden="false" customHeight="true" outlineLevel="0" collapsed="false">
      <c r="A13" s="3" t="s">
        <v>44</v>
      </c>
      <c r="B13" s="3" t="s">
        <v>38</v>
      </c>
      <c r="C13" s="3" t="n">
        <v>2</v>
      </c>
      <c r="D13" s="3" t="s">
        <v>35</v>
      </c>
      <c r="E13" s="3"/>
      <c r="F13" s="3"/>
      <c r="G13" s="3"/>
      <c r="H13" s="3"/>
      <c r="I13" s="3"/>
      <c r="J13" s="3"/>
      <c r="K13" s="3"/>
    </row>
    <row r="14" customFormat="false" ht="15" hidden="false" customHeight="true" outlineLevel="0" collapsed="false">
      <c r="A14" s="3" t="s">
        <v>46</v>
      </c>
      <c r="B14" s="3" t="s">
        <v>47</v>
      </c>
      <c r="C14" s="3" t="n">
        <v>4</v>
      </c>
      <c r="D14" s="3" t="s">
        <v>35</v>
      </c>
      <c r="E14" s="3" t="s">
        <v>48</v>
      </c>
      <c r="F14" s="3"/>
      <c r="G14" s="3"/>
      <c r="H14" s="3"/>
      <c r="I14" s="3"/>
      <c r="J14" s="3"/>
      <c r="K14" s="3"/>
    </row>
    <row r="15" customFormat="false" ht="15" hidden="false" customHeight="true" outlineLevel="0" collapsed="false">
      <c r="A15" s="3" t="s">
        <v>46</v>
      </c>
      <c r="B15" s="3" t="s">
        <v>38</v>
      </c>
      <c r="C15" s="3" t="n">
        <v>4</v>
      </c>
      <c r="D15" s="3" t="s">
        <v>35</v>
      </c>
      <c r="E15" s="3"/>
      <c r="F15" s="3"/>
      <c r="G15" s="3"/>
      <c r="H15" s="3"/>
      <c r="I15" s="3"/>
      <c r="J15" s="3"/>
      <c r="K15" s="3"/>
    </row>
    <row r="16" customFormat="false" ht="15" hidden="false" customHeight="true" outlineLevel="0" collapsed="false">
      <c r="A16" s="3" t="s">
        <v>46</v>
      </c>
      <c r="B16" s="3" t="s">
        <v>36</v>
      </c>
      <c r="C16" s="3" t="n">
        <v>4</v>
      </c>
      <c r="D16" s="3" t="s">
        <v>35</v>
      </c>
      <c r="E16" s="3" t="s">
        <v>37</v>
      </c>
      <c r="F16" s="3"/>
      <c r="G16" s="3"/>
      <c r="H16" s="3"/>
      <c r="I16" s="3"/>
      <c r="J16" s="3"/>
      <c r="K16" s="3"/>
    </row>
    <row r="17" customFormat="false" ht="15" hidden="false" customHeight="true" outlineLevel="0" collapsed="false">
      <c r="A17" s="3" t="s">
        <v>46</v>
      </c>
      <c r="B17" s="3" t="s">
        <v>34</v>
      </c>
      <c r="C17" s="3" t="n">
        <v>2</v>
      </c>
      <c r="D17" s="3" t="s">
        <v>35</v>
      </c>
      <c r="E17" s="3"/>
      <c r="F17" s="3"/>
      <c r="G17" s="3"/>
      <c r="H17" s="3"/>
      <c r="I17" s="3"/>
      <c r="J17" s="3"/>
      <c r="K17" s="3"/>
    </row>
    <row r="18" customFormat="false" ht="15" hidden="false" customHeight="true" outlineLevel="0" collapsed="false">
      <c r="A18" s="3" t="s">
        <v>46</v>
      </c>
      <c r="B18" s="3" t="s">
        <v>49</v>
      </c>
      <c r="C18" s="3" t="n">
        <v>3</v>
      </c>
      <c r="D18" s="3" t="s">
        <v>35</v>
      </c>
      <c r="E18" s="3" t="s">
        <v>45</v>
      </c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3" t="s">
        <v>46</v>
      </c>
      <c r="B19" s="3" t="s">
        <v>39</v>
      </c>
      <c r="C19" s="3" t="n">
        <v>3</v>
      </c>
      <c r="D19" s="3" t="s">
        <v>35</v>
      </c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 t="s">
        <v>50</v>
      </c>
      <c r="B20" s="3" t="s">
        <v>38</v>
      </c>
      <c r="C20" s="3" t="n">
        <v>5</v>
      </c>
      <c r="D20" s="3" t="s">
        <v>35</v>
      </c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 t="s">
        <v>50</v>
      </c>
      <c r="B21" s="3" t="s">
        <v>51</v>
      </c>
      <c r="C21" s="3" t="n">
        <v>5</v>
      </c>
      <c r="D21" s="3" t="s">
        <v>35</v>
      </c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 t="s">
        <v>50</v>
      </c>
      <c r="B22" s="3" t="s">
        <v>52</v>
      </c>
      <c r="C22" s="3" t="n">
        <v>2</v>
      </c>
      <c r="D22" s="3" t="s">
        <v>35</v>
      </c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 t="s">
        <v>50</v>
      </c>
      <c r="B23" s="3" t="s">
        <v>36</v>
      </c>
      <c r="C23" s="3" t="n">
        <v>3</v>
      </c>
      <c r="D23" s="3" t="s">
        <v>35</v>
      </c>
      <c r="E23" s="3" t="s">
        <v>45</v>
      </c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 t="s">
        <v>50</v>
      </c>
      <c r="B24" s="3" t="s">
        <v>34</v>
      </c>
      <c r="C24" s="3" t="n">
        <v>2</v>
      </c>
      <c r="D24" s="3" t="s">
        <v>35</v>
      </c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 t="s">
        <v>50</v>
      </c>
      <c r="B25" s="3" t="s">
        <v>49</v>
      </c>
      <c r="C25" s="3" t="n">
        <v>1</v>
      </c>
      <c r="D25" s="3" t="s">
        <v>35</v>
      </c>
      <c r="E25" s="3" t="s">
        <v>43</v>
      </c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 t="s">
        <v>50</v>
      </c>
      <c r="B26" s="3" t="s">
        <v>39</v>
      </c>
      <c r="C26" s="3" t="n">
        <v>2</v>
      </c>
      <c r="D26" s="3" t="s">
        <v>35</v>
      </c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 t="s">
        <v>53</v>
      </c>
      <c r="B27" s="3" t="s">
        <v>38</v>
      </c>
      <c r="C27" s="3" t="n">
        <v>4</v>
      </c>
      <c r="D27" s="3" t="s">
        <v>35</v>
      </c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 t="s">
        <v>53</v>
      </c>
      <c r="B28" s="3" t="s">
        <v>51</v>
      </c>
      <c r="C28" s="3" t="n">
        <v>4</v>
      </c>
      <c r="D28" s="3" t="s">
        <v>35</v>
      </c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 t="s">
        <v>53</v>
      </c>
      <c r="B29" s="3" t="s">
        <v>52</v>
      </c>
      <c r="C29" s="3" t="n">
        <v>4</v>
      </c>
      <c r="D29" s="3" t="s">
        <v>35</v>
      </c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 t="s">
        <v>53</v>
      </c>
      <c r="B30" s="3" t="s">
        <v>36</v>
      </c>
      <c r="C30" s="3" t="n">
        <v>3</v>
      </c>
      <c r="D30" s="3" t="s">
        <v>35</v>
      </c>
      <c r="E30" s="3" t="s">
        <v>45</v>
      </c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 t="s">
        <v>53</v>
      </c>
      <c r="B31" s="3" t="s">
        <v>34</v>
      </c>
      <c r="C31" s="3" t="n">
        <v>2</v>
      </c>
      <c r="D31" s="3" t="s">
        <v>35</v>
      </c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 t="s">
        <v>53</v>
      </c>
      <c r="B32" s="3" t="s">
        <v>49</v>
      </c>
      <c r="C32" s="3" t="n">
        <v>1</v>
      </c>
      <c r="D32" s="3" t="s">
        <v>35</v>
      </c>
      <c r="E32" s="3" t="s">
        <v>43</v>
      </c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 t="s">
        <v>53</v>
      </c>
      <c r="B33" s="3" t="s">
        <v>39</v>
      </c>
      <c r="C33" s="3" t="n">
        <v>2</v>
      </c>
      <c r="D33" s="3" t="s">
        <v>35</v>
      </c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 t="s">
        <v>54</v>
      </c>
      <c r="B34" s="3" t="s">
        <v>38</v>
      </c>
      <c r="C34" s="3" t="n">
        <v>5</v>
      </c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 t="s">
        <v>54</v>
      </c>
      <c r="B35" s="3" t="s">
        <v>51</v>
      </c>
      <c r="C35" s="3" t="n">
        <v>5</v>
      </c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 t="s">
        <v>54</v>
      </c>
      <c r="B36" s="3" t="s">
        <v>36</v>
      </c>
      <c r="C36" s="3" t="n">
        <v>2</v>
      </c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 t="s">
        <v>54</v>
      </c>
      <c r="B37" s="3" t="s">
        <v>49</v>
      </c>
      <c r="C37" s="3" t="n">
        <v>2</v>
      </c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 t="s">
        <v>55</v>
      </c>
      <c r="B38" s="3"/>
      <c r="C38" s="3"/>
      <c r="D38" s="3"/>
      <c r="E38" s="3" t="s">
        <v>15</v>
      </c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 t="s">
        <v>56</v>
      </c>
      <c r="B39" s="3"/>
      <c r="C39" s="3"/>
      <c r="D39" s="3"/>
      <c r="E39" s="3" t="s">
        <v>15</v>
      </c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 t="s">
        <v>57</v>
      </c>
      <c r="B40" s="3"/>
      <c r="C40" s="3"/>
      <c r="D40" s="3"/>
      <c r="E40" s="3" t="s">
        <v>15</v>
      </c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 t="s">
        <v>58</v>
      </c>
      <c r="B41" s="3"/>
      <c r="C41" s="3"/>
      <c r="D41" s="3"/>
      <c r="E41" s="3" t="s">
        <v>15</v>
      </c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 t="s">
        <v>59</v>
      </c>
      <c r="B42" s="3"/>
      <c r="C42" s="3"/>
      <c r="D42" s="3"/>
      <c r="E42" s="3" t="s">
        <v>15</v>
      </c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 t="s">
        <v>60</v>
      </c>
      <c r="B43" s="3"/>
      <c r="C43" s="3"/>
      <c r="D43" s="3"/>
      <c r="E43" s="3" t="s">
        <v>15</v>
      </c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E2:E203">
    <cfRule type="expression" priority="2" aboveAverage="0" equalAverage="0" bottom="0" percent="0" rank="0" text="" dxfId="4">
      <formula>E2="À compléter"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8.16"/>
    <col collapsed="false" customWidth="true" hidden="false" outlineLevel="0" max="2" min="2" style="1" width="27.24"/>
    <col collapsed="false" customWidth="true" hidden="false" outlineLevel="0" max="3" min="3" style="1" width="20.43"/>
    <col collapsed="false" customWidth="true" hidden="false" outlineLevel="0" max="4" min="4" style="1" width="27.24"/>
    <col collapsed="false" customWidth="true" hidden="false" outlineLevel="0" max="5" min="5" style="1" width="20.43"/>
    <col collapsed="false" customWidth="true" hidden="false" outlineLevel="0" max="6" min="6" style="1" width="15.89"/>
    <col collapsed="false" customWidth="true" hidden="false" outlineLevel="0" max="7" min="7" style="1" width="22.7"/>
    <col collapsed="false" customWidth="true" hidden="false" outlineLevel="0" max="8" min="8" style="1" width="68.11"/>
  </cols>
  <sheetData>
    <row r="1" customFormat="false" ht="15" hidden="false" customHeight="true" outlineLevel="0" collapsed="false">
      <c r="A1" s="4" t="s">
        <v>61</v>
      </c>
      <c r="B1" s="4" t="s">
        <v>62</v>
      </c>
      <c r="C1" s="4" t="s">
        <v>63</v>
      </c>
      <c r="D1" s="4" t="s">
        <v>29</v>
      </c>
      <c r="E1" s="4" t="s">
        <v>64</v>
      </c>
      <c r="F1" s="4" t="s">
        <v>65</v>
      </c>
      <c r="G1" s="4" t="s">
        <v>66</v>
      </c>
      <c r="H1" s="4" t="s">
        <v>67</v>
      </c>
      <c r="I1" s="3"/>
      <c r="J1" s="3"/>
      <c r="K1" s="3"/>
    </row>
    <row r="2" customFormat="false" ht="15" hidden="false" customHeight="true" outlineLevel="0" collapsed="false">
      <c r="A2" s="3" t="s">
        <v>68</v>
      </c>
      <c r="B2" s="3" t="s">
        <v>69</v>
      </c>
      <c r="C2" s="3" t="s">
        <v>70</v>
      </c>
      <c r="D2" s="3" t="s">
        <v>36</v>
      </c>
      <c r="E2" s="3" t="n">
        <v>2</v>
      </c>
      <c r="F2" s="3" t="n">
        <v>7</v>
      </c>
      <c r="G2" s="3" t="s">
        <v>71</v>
      </c>
      <c r="H2" s="3" t="s">
        <v>72</v>
      </c>
      <c r="I2" s="3"/>
      <c r="J2" s="3"/>
      <c r="K2" s="3"/>
    </row>
    <row r="3" customFormat="false" ht="15" hidden="false" customHeight="true" outlineLevel="0" collapsed="false">
      <c r="A3" s="3" t="s">
        <v>68</v>
      </c>
      <c r="B3" s="3" t="s">
        <v>69</v>
      </c>
      <c r="C3" s="3" t="s">
        <v>70</v>
      </c>
      <c r="D3" s="3" t="s">
        <v>73</v>
      </c>
      <c r="E3" s="3" t="n">
        <v>2</v>
      </c>
      <c r="F3" s="3" t="n">
        <v>7</v>
      </c>
      <c r="G3" s="3" t="s">
        <v>71</v>
      </c>
      <c r="H3" s="3" t="s">
        <v>72</v>
      </c>
      <c r="I3" s="3"/>
      <c r="J3" s="3"/>
      <c r="K3" s="3"/>
    </row>
    <row r="4" customFormat="false" ht="15" hidden="false" customHeight="true" outlineLevel="0" collapsed="false">
      <c r="A4" s="3" t="s">
        <v>68</v>
      </c>
      <c r="B4" s="3" t="s">
        <v>69</v>
      </c>
      <c r="C4" s="3" t="s">
        <v>70</v>
      </c>
      <c r="D4" s="3" t="s">
        <v>38</v>
      </c>
      <c r="E4" s="3" t="n">
        <v>3</v>
      </c>
      <c r="F4" s="3" t="n">
        <v>7</v>
      </c>
      <c r="G4" s="3" t="s">
        <v>71</v>
      </c>
      <c r="H4" s="3" t="s">
        <v>72</v>
      </c>
      <c r="I4" s="3"/>
      <c r="J4" s="3"/>
      <c r="K4" s="3"/>
    </row>
    <row r="5" customFormat="false" ht="15" hidden="false" customHeight="true" outlineLevel="0" collapsed="false">
      <c r="A5" s="3" t="s">
        <v>74</v>
      </c>
      <c r="B5" s="3" t="s">
        <v>75</v>
      </c>
      <c r="C5" s="3" t="s">
        <v>33</v>
      </c>
      <c r="D5" s="3" t="s">
        <v>36</v>
      </c>
      <c r="E5" s="3" t="n">
        <v>3</v>
      </c>
      <c r="F5" s="3" t="n">
        <v>11</v>
      </c>
      <c r="G5" s="3" t="s">
        <v>71</v>
      </c>
      <c r="H5" s="3" t="s">
        <v>76</v>
      </c>
      <c r="I5" s="3"/>
      <c r="J5" s="3"/>
      <c r="K5" s="3"/>
    </row>
    <row r="6" customFormat="false" ht="15" hidden="false" customHeight="true" outlineLevel="0" collapsed="false">
      <c r="A6" s="3" t="s">
        <v>74</v>
      </c>
      <c r="B6" s="3" t="s">
        <v>75</v>
      </c>
      <c r="C6" s="3" t="s">
        <v>33</v>
      </c>
      <c r="D6" s="3" t="s">
        <v>73</v>
      </c>
      <c r="E6" s="3" t="n">
        <v>3</v>
      </c>
      <c r="F6" s="3" t="n">
        <v>11</v>
      </c>
      <c r="G6" s="3" t="s">
        <v>71</v>
      </c>
      <c r="H6" s="3" t="s">
        <v>76</v>
      </c>
      <c r="I6" s="3"/>
      <c r="J6" s="3"/>
      <c r="K6" s="3"/>
    </row>
    <row r="7" customFormat="false" ht="15" hidden="false" customHeight="true" outlineLevel="0" collapsed="false">
      <c r="A7" s="3" t="s">
        <v>74</v>
      </c>
      <c r="B7" s="3" t="s">
        <v>75</v>
      </c>
      <c r="C7" s="3" t="s">
        <v>33</v>
      </c>
      <c r="D7" s="3" t="s">
        <v>38</v>
      </c>
      <c r="E7" s="3" t="n">
        <v>5</v>
      </c>
      <c r="F7" s="3" t="n">
        <v>11</v>
      </c>
      <c r="G7" s="3" t="s">
        <v>71</v>
      </c>
      <c r="H7" s="3" t="s">
        <v>76</v>
      </c>
      <c r="I7" s="3"/>
      <c r="J7" s="3"/>
      <c r="K7" s="3"/>
    </row>
    <row r="8" customFormat="false" ht="15" hidden="false" customHeight="true" outlineLevel="0" collapsed="false">
      <c r="A8" s="3" t="s">
        <v>68</v>
      </c>
      <c r="B8" s="3" t="s">
        <v>69</v>
      </c>
      <c r="C8" s="3" t="s">
        <v>46</v>
      </c>
      <c r="D8" s="3" t="s">
        <v>36</v>
      </c>
      <c r="E8" s="3" t="n">
        <v>2</v>
      </c>
      <c r="F8" s="3" t="n">
        <v>10</v>
      </c>
      <c r="G8" s="3" t="s">
        <v>77</v>
      </c>
      <c r="H8" s="3" t="s">
        <v>78</v>
      </c>
      <c r="I8" s="3"/>
      <c r="J8" s="3"/>
      <c r="K8" s="3"/>
    </row>
    <row r="9" customFormat="false" ht="15" hidden="false" customHeight="true" outlineLevel="0" collapsed="false">
      <c r="A9" s="3" t="s">
        <v>68</v>
      </c>
      <c r="B9" s="3" t="s">
        <v>69</v>
      </c>
      <c r="C9" s="3" t="s">
        <v>46</v>
      </c>
      <c r="D9" s="3" t="s">
        <v>73</v>
      </c>
      <c r="E9" s="3" t="n">
        <v>2</v>
      </c>
      <c r="F9" s="3" t="n">
        <v>10</v>
      </c>
      <c r="G9" s="3" t="s">
        <v>77</v>
      </c>
      <c r="H9" s="3" t="s">
        <v>78</v>
      </c>
      <c r="I9" s="3"/>
      <c r="J9" s="3"/>
      <c r="K9" s="3"/>
    </row>
    <row r="10" customFormat="false" ht="15" hidden="false" customHeight="true" outlineLevel="0" collapsed="false">
      <c r="A10" s="3" t="s">
        <v>68</v>
      </c>
      <c r="B10" s="3" t="s">
        <v>69</v>
      </c>
      <c r="C10" s="3" t="s">
        <v>46</v>
      </c>
      <c r="D10" s="3" t="s">
        <v>38</v>
      </c>
      <c r="E10" s="3" t="n">
        <v>3</v>
      </c>
      <c r="F10" s="3" t="n">
        <v>10</v>
      </c>
      <c r="G10" s="3" t="s">
        <v>77</v>
      </c>
      <c r="H10" s="3" t="s">
        <v>78</v>
      </c>
      <c r="I10" s="3"/>
      <c r="J10" s="3"/>
      <c r="K10" s="3"/>
    </row>
    <row r="11" customFormat="false" ht="15" hidden="false" customHeight="true" outlineLevel="0" collapsed="false">
      <c r="A11" s="3" t="s">
        <v>68</v>
      </c>
      <c r="B11" s="3" t="s">
        <v>69</v>
      </c>
      <c r="C11" s="3" t="s">
        <v>46</v>
      </c>
      <c r="D11" s="3" t="s">
        <v>47</v>
      </c>
      <c r="E11" s="3" t="n">
        <v>3</v>
      </c>
      <c r="F11" s="3" t="n">
        <v>10</v>
      </c>
      <c r="G11" s="3" t="s">
        <v>77</v>
      </c>
      <c r="H11" s="3" t="s">
        <v>78</v>
      </c>
      <c r="I11" s="3"/>
      <c r="J11" s="3"/>
      <c r="K11" s="3"/>
    </row>
    <row r="12" customFormat="false" ht="15" hidden="false" customHeight="true" outlineLevel="0" collapsed="false">
      <c r="A12" s="3" t="s">
        <v>74</v>
      </c>
      <c r="B12" s="3" t="s">
        <v>75</v>
      </c>
      <c r="C12" s="3" t="s">
        <v>46</v>
      </c>
      <c r="D12" s="3" t="s">
        <v>36</v>
      </c>
      <c r="E12" s="3" t="n">
        <v>3</v>
      </c>
      <c r="F12" s="3" t="n">
        <v>16</v>
      </c>
      <c r="G12" s="3" t="s">
        <v>77</v>
      </c>
      <c r="H12" s="3" t="s">
        <v>79</v>
      </c>
      <c r="I12" s="3"/>
      <c r="J12" s="3"/>
      <c r="K12" s="3"/>
    </row>
    <row r="13" customFormat="false" ht="15" hidden="false" customHeight="true" outlineLevel="0" collapsed="false">
      <c r="A13" s="3" t="s">
        <v>74</v>
      </c>
      <c r="B13" s="3" t="s">
        <v>75</v>
      </c>
      <c r="C13" s="3" t="s">
        <v>46</v>
      </c>
      <c r="D13" s="3" t="s">
        <v>73</v>
      </c>
      <c r="E13" s="3" t="n">
        <v>3</v>
      </c>
      <c r="F13" s="3" t="n">
        <v>16</v>
      </c>
      <c r="G13" s="3" t="s">
        <v>77</v>
      </c>
      <c r="H13" s="3" t="s">
        <v>79</v>
      </c>
      <c r="I13" s="3"/>
      <c r="J13" s="3"/>
      <c r="K13" s="3"/>
    </row>
    <row r="14" customFormat="false" ht="15" hidden="false" customHeight="true" outlineLevel="0" collapsed="false">
      <c r="A14" s="3" t="s">
        <v>74</v>
      </c>
      <c r="B14" s="3" t="s">
        <v>75</v>
      </c>
      <c r="C14" s="3" t="s">
        <v>46</v>
      </c>
      <c r="D14" s="3" t="s">
        <v>38</v>
      </c>
      <c r="E14" s="3" t="n">
        <v>5</v>
      </c>
      <c r="F14" s="3" t="n">
        <v>16</v>
      </c>
      <c r="G14" s="3" t="s">
        <v>77</v>
      </c>
      <c r="H14" s="3" t="s">
        <v>79</v>
      </c>
      <c r="I14" s="3"/>
      <c r="J14" s="3"/>
      <c r="K14" s="3"/>
    </row>
    <row r="15" customFormat="false" ht="15" hidden="false" customHeight="true" outlineLevel="0" collapsed="false">
      <c r="A15" s="3" t="s">
        <v>74</v>
      </c>
      <c r="B15" s="3" t="s">
        <v>75</v>
      </c>
      <c r="C15" s="3" t="s">
        <v>46</v>
      </c>
      <c r="D15" s="3" t="s">
        <v>47</v>
      </c>
      <c r="E15" s="3" t="n">
        <v>5</v>
      </c>
      <c r="F15" s="3" t="n">
        <v>16</v>
      </c>
      <c r="G15" s="3" t="s">
        <v>77</v>
      </c>
      <c r="H15" s="3" t="s">
        <v>79</v>
      </c>
      <c r="I15" s="3"/>
      <c r="J15" s="3"/>
      <c r="K15" s="3"/>
    </row>
    <row r="16" customFormat="false" ht="15" hidden="false" customHeight="true" outlineLevel="0" collapsed="false">
      <c r="A16" s="3" t="s">
        <v>68</v>
      </c>
      <c r="B16" s="3" t="s">
        <v>69</v>
      </c>
      <c r="C16" s="3" t="s">
        <v>80</v>
      </c>
      <c r="D16" s="3" t="s">
        <v>36</v>
      </c>
      <c r="E16" s="3" t="n">
        <v>2</v>
      </c>
      <c r="F16" s="3" t="n">
        <v>7</v>
      </c>
      <c r="G16" s="3" t="s">
        <v>81</v>
      </c>
      <c r="H16" s="3" t="s">
        <v>72</v>
      </c>
      <c r="I16" s="3"/>
      <c r="J16" s="3"/>
      <c r="K16" s="3"/>
    </row>
    <row r="17" customFormat="false" ht="15" hidden="false" customHeight="true" outlineLevel="0" collapsed="false">
      <c r="A17" s="3" t="s">
        <v>68</v>
      </c>
      <c r="B17" s="3" t="s">
        <v>69</v>
      </c>
      <c r="C17" s="3" t="s">
        <v>80</v>
      </c>
      <c r="D17" s="3" t="s">
        <v>73</v>
      </c>
      <c r="E17" s="3" t="n">
        <v>2</v>
      </c>
      <c r="F17" s="3" t="n">
        <v>7</v>
      </c>
      <c r="G17" s="3" t="s">
        <v>81</v>
      </c>
      <c r="H17" s="3" t="s">
        <v>72</v>
      </c>
      <c r="I17" s="3"/>
      <c r="J17" s="3"/>
      <c r="K17" s="3"/>
    </row>
    <row r="18" customFormat="false" ht="15" hidden="false" customHeight="true" outlineLevel="0" collapsed="false">
      <c r="A18" s="3" t="s">
        <v>68</v>
      </c>
      <c r="B18" s="3" t="s">
        <v>69</v>
      </c>
      <c r="C18" s="3" t="s">
        <v>80</v>
      </c>
      <c r="D18" s="3" t="s">
        <v>38</v>
      </c>
      <c r="E18" s="3" t="n">
        <v>3</v>
      </c>
      <c r="F18" s="3" t="n">
        <v>7</v>
      </c>
      <c r="G18" s="3" t="s">
        <v>81</v>
      </c>
      <c r="H18" s="3" t="s">
        <v>72</v>
      </c>
      <c r="I18" s="3"/>
      <c r="J18" s="3"/>
      <c r="K18" s="3"/>
    </row>
    <row r="19" customFormat="false" ht="15" hidden="false" customHeight="true" outlineLevel="0" collapsed="false">
      <c r="A19" s="3" t="s">
        <v>68</v>
      </c>
      <c r="B19" s="3" t="s">
        <v>82</v>
      </c>
      <c r="C19" s="3" t="s">
        <v>80</v>
      </c>
      <c r="D19" s="3" t="s">
        <v>36</v>
      </c>
      <c r="E19" s="3" t="n">
        <v>1</v>
      </c>
      <c r="F19" s="3" t="n">
        <v>6</v>
      </c>
      <c r="G19" s="3" t="s">
        <v>81</v>
      </c>
      <c r="H19" s="3" t="s">
        <v>83</v>
      </c>
      <c r="I19" s="3"/>
      <c r="J19" s="3"/>
      <c r="K19" s="3"/>
    </row>
    <row r="20" customFormat="false" ht="15" hidden="false" customHeight="true" outlineLevel="0" collapsed="false">
      <c r="A20" s="3" t="s">
        <v>68</v>
      </c>
      <c r="B20" s="3" t="s">
        <v>82</v>
      </c>
      <c r="C20" s="3" t="s">
        <v>80</v>
      </c>
      <c r="D20" s="3" t="s">
        <v>73</v>
      </c>
      <c r="E20" s="3" t="n">
        <v>1</v>
      </c>
      <c r="F20" s="3" t="n">
        <v>6</v>
      </c>
      <c r="G20" s="3" t="s">
        <v>81</v>
      </c>
      <c r="H20" s="3" t="s">
        <v>83</v>
      </c>
      <c r="I20" s="3"/>
      <c r="J20" s="3"/>
      <c r="K20" s="3"/>
    </row>
    <row r="21" customFormat="false" ht="15" hidden="false" customHeight="true" outlineLevel="0" collapsed="false">
      <c r="A21" s="3" t="s">
        <v>68</v>
      </c>
      <c r="B21" s="3" t="s">
        <v>82</v>
      </c>
      <c r="C21" s="3" t="s">
        <v>80</v>
      </c>
      <c r="D21" s="3" t="s">
        <v>38</v>
      </c>
      <c r="E21" s="3" t="n">
        <v>2</v>
      </c>
      <c r="F21" s="3" t="n">
        <v>6</v>
      </c>
      <c r="G21" s="3" t="s">
        <v>81</v>
      </c>
      <c r="H21" s="3" t="s">
        <v>83</v>
      </c>
      <c r="I21" s="3"/>
      <c r="J21" s="3"/>
      <c r="K21" s="3"/>
    </row>
    <row r="22" customFormat="false" ht="15" hidden="false" customHeight="true" outlineLevel="0" collapsed="false">
      <c r="A22" s="3" t="s">
        <v>68</v>
      </c>
      <c r="B22" s="3" t="s">
        <v>82</v>
      </c>
      <c r="C22" s="3" t="s">
        <v>80</v>
      </c>
      <c r="D22" s="3" t="s">
        <v>84</v>
      </c>
      <c r="E22" s="3" t="n">
        <v>2</v>
      </c>
      <c r="F22" s="3" t="n">
        <v>6</v>
      </c>
      <c r="G22" s="3" t="s">
        <v>81</v>
      </c>
      <c r="H22" s="3" t="s">
        <v>83</v>
      </c>
      <c r="I22" s="3"/>
      <c r="J22" s="3"/>
      <c r="K22" s="3"/>
    </row>
    <row r="23" customFormat="false" ht="15" hidden="false" customHeight="true" outlineLevel="0" collapsed="false">
      <c r="A23" s="3" t="s">
        <v>68</v>
      </c>
      <c r="B23" s="3" t="s">
        <v>85</v>
      </c>
      <c r="C23" s="3" t="s">
        <v>80</v>
      </c>
      <c r="D23" s="3" t="s">
        <v>36</v>
      </c>
      <c r="E23" s="3" t="n">
        <v>1</v>
      </c>
      <c r="F23" s="3" t="n">
        <v>8</v>
      </c>
      <c r="G23" s="3" t="s">
        <v>81</v>
      </c>
      <c r="H23" s="3" t="s">
        <v>86</v>
      </c>
      <c r="I23" s="3"/>
      <c r="J23" s="3"/>
      <c r="K23" s="3"/>
    </row>
    <row r="24" customFormat="false" ht="15" hidden="false" customHeight="true" outlineLevel="0" collapsed="false">
      <c r="A24" s="3" t="s">
        <v>68</v>
      </c>
      <c r="B24" s="3" t="s">
        <v>85</v>
      </c>
      <c r="C24" s="3" t="s">
        <v>80</v>
      </c>
      <c r="D24" s="3" t="s">
        <v>73</v>
      </c>
      <c r="E24" s="3" t="n">
        <v>1</v>
      </c>
      <c r="F24" s="3" t="n">
        <v>8</v>
      </c>
      <c r="G24" s="3" t="s">
        <v>81</v>
      </c>
      <c r="H24" s="3" t="s">
        <v>86</v>
      </c>
      <c r="I24" s="3"/>
      <c r="J24" s="3"/>
      <c r="K24" s="3"/>
    </row>
    <row r="25" customFormat="false" ht="15" hidden="false" customHeight="true" outlineLevel="0" collapsed="false">
      <c r="A25" s="3" t="s">
        <v>68</v>
      </c>
      <c r="B25" s="3" t="s">
        <v>85</v>
      </c>
      <c r="C25" s="3" t="s">
        <v>80</v>
      </c>
      <c r="D25" s="3" t="s">
        <v>38</v>
      </c>
      <c r="E25" s="3" t="n">
        <v>2</v>
      </c>
      <c r="F25" s="3" t="n">
        <v>8</v>
      </c>
      <c r="G25" s="3" t="s">
        <v>81</v>
      </c>
      <c r="H25" s="3" t="s">
        <v>86</v>
      </c>
      <c r="I25" s="3"/>
      <c r="J25" s="3"/>
      <c r="K25" s="3"/>
    </row>
    <row r="26" customFormat="false" ht="15" hidden="false" customHeight="true" outlineLevel="0" collapsed="false">
      <c r="A26" s="3" t="s">
        <v>68</v>
      </c>
      <c r="B26" s="3" t="s">
        <v>85</v>
      </c>
      <c r="C26" s="3" t="s">
        <v>80</v>
      </c>
      <c r="D26" s="3" t="s">
        <v>84</v>
      </c>
      <c r="E26" s="3" t="n">
        <v>2</v>
      </c>
      <c r="F26" s="3" t="n">
        <v>8</v>
      </c>
      <c r="G26" s="3" t="s">
        <v>81</v>
      </c>
      <c r="H26" s="3" t="s">
        <v>86</v>
      </c>
      <c r="I26" s="3"/>
      <c r="J26" s="3"/>
      <c r="K26" s="3"/>
    </row>
    <row r="27" customFormat="false" ht="15" hidden="false" customHeight="true" outlineLevel="0" collapsed="false">
      <c r="A27" s="3" t="s">
        <v>68</v>
      </c>
      <c r="B27" s="3" t="s">
        <v>85</v>
      </c>
      <c r="C27" s="3" t="s">
        <v>80</v>
      </c>
      <c r="D27" s="3" t="s">
        <v>52</v>
      </c>
      <c r="E27" s="3" t="n">
        <v>2</v>
      </c>
      <c r="F27" s="3" t="n">
        <v>8</v>
      </c>
      <c r="G27" s="3" t="s">
        <v>81</v>
      </c>
      <c r="H27" s="3" t="s">
        <v>86</v>
      </c>
      <c r="I27" s="3"/>
      <c r="J27" s="3"/>
      <c r="K27" s="3"/>
    </row>
    <row r="28" customFormat="false" ht="15" hidden="false" customHeight="true" outlineLevel="0" collapsed="false">
      <c r="A28" s="3" t="s">
        <v>74</v>
      </c>
      <c r="B28" s="3" t="s">
        <v>87</v>
      </c>
      <c r="C28" s="3" t="s">
        <v>80</v>
      </c>
      <c r="D28" s="3" t="s">
        <v>36</v>
      </c>
      <c r="E28" s="3" t="n">
        <v>1</v>
      </c>
      <c r="F28" s="3" t="n">
        <v>11</v>
      </c>
      <c r="G28" s="3" t="s">
        <v>81</v>
      </c>
      <c r="H28" s="3" t="s">
        <v>88</v>
      </c>
      <c r="I28" s="3"/>
      <c r="J28" s="3"/>
      <c r="K28" s="3"/>
    </row>
    <row r="29" customFormat="false" ht="15" hidden="false" customHeight="true" outlineLevel="0" collapsed="false">
      <c r="A29" s="3" t="s">
        <v>74</v>
      </c>
      <c r="B29" s="3" t="s">
        <v>87</v>
      </c>
      <c r="C29" s="3" t="s">
        <v>80</v>
      </c>
      <c r="D29" s="3" t="s">
        <v>73</v>
      </c>
      <c r="E29" s="3" t="n">
        <v>1</v>
      </c>
      <c r="F29" s="3" t="n">
        <v>11</v>
      </c>
      <c r="G29" s="3" t="s">
        <v>81</v>
      </c>
      <c r="H29" s="3" t="s">
        <v>88</v>
      </c>
      <c r="I29" s="3"/>
      <c r="J29" s="3"/>
      <c r="K29" s="3"/>
    </row>
    <row r="30" customFormat="false" ht="15" hidden="false" customHeight="true" outlineLevel="0" collapsed="false">
      <c r="A30" s="3" t="s">
        <v>74</v>
      </c>
      <c r="B30" s="3" t="s">
        <v>87</v>
      </c>
      <c r="C30" s="3" t="s">
        <v>80</v>
      </c>
      <c r="D30" s="3" t="s">
        <v>38</v>
      </c>
      <c r="E30" s="3" t="n">
        <v>3</v>
      </c>
      <c r="F30" s="3" t="n">
        <v>11</v>
      </c>
      <c r="G30" s="3" t="s">
        <v>81</v>
      </c>
      <c r="H30" s="3" t="s">
        <v>88</v>
      </c>
      <c r="I30" s="3"/>
      <c r="J30" s="3"/>
      <c r="K30" s="3"/>
    </row>
    <row r="31" customFormat="false" ht="15" hidden="false" customHeight="true" outlineLevel="0" collapsed="false">
      <c r="A31" s="3" t="s">
        <v>74</v>
      </c>
      <c r="B31" s="3" t="s">
        <v>87</v>
      </c>
      <c r="C31" s="3" t="s">
        <v>80</v>
      </c>
      <c r="D31" s="3" t="s">
        <v>84</v>
      </c>
      <c r="E31" s="3" t="n">
        <v>3</v>
      </c>
      <c r="F31" s="3" t="n">
        <v>11</v>
      </c>
      <c r="G31" s="3" t="s">
        <v>81</v>
      </c>
      <c r="H31" s="3" t="s">
        <v>88</v>
      </c>
      <c r="I31" s="3"/>
      <c r="J31" s="3"/>
      <c r="K31" s="3"/>
    </row>
    <row r="32" customFormat="false" ht="15" hidden="false" customHeight="true" outlineLevel="0" collapsed="false">
      <c r="A32" s="3" t="s">
        <v>74</v>
      </c>
      <c r="B32" s="3" t="s">
        <v>87</v>
      </c>
      <c r="C32" s="3" t="s">
        <v>80</v>
      </c>
      <c r="D32" s="3" t="s">
        <v>52</v>
      </c>
      <c r="E32" s="3" t="n">
        <v>3</v>
      </c>
      <c r="F32" s="3" t="n">
        <v>11</v>
      </c>
      <c r="G32" s="3" t="s">
        <v>81</v>
      </c>
      <c r="H32" s="3" t="s">
        <v>88</v>
      </c>
      <c r="I32" s="3"/>
      <c r="J32" s="3"/>
      <c r="K32" s="3"/>
    </row>
    <row r="33" customFormat="false" ht="15" hidden="false" customHeight="true" outlineLevel="0" collapsed="false">
      <c r="A33" s="3" t="s">
        <v>74</v>
      </c>
      <c r="B33" s="3" t="s">
        <v>75</v>
      </c>
      <c r="C33" s="3" t="s">
        <v>80</v>
      </c>
      <c r="D33" s="3" t="s">
        <v>36</v>
      </c>
      <c r="E33" s="3" t="n">
        <v>3</v>
      </c>
      <c r="F33" s="3" t="n">
        <v>11</v>
      </c>
      <c r="G33" s="3" t="s">
        <v>81</v>
      </c>
      <c r="H33" s="3" t="s">
        <v>76</v>
      </c>
      <c r="I33" s="3"/>
      <c r="J33" s="3"/>
      <c r="K33" s="3"/>
    </row>
    <row r="34" customFormat="false" ht="15" hidden="false" customHeight="true" outlineLevel="0" collapsed="false">
      <c r="A34" s="3" t="s">
        <v>74</v>
      </c>
      <c r="B34" s="3" t="s">
        <v>75</v>
      </c>
      <c r="C34" s="3" t="s">
        <v>80</v>
      </c>
      <c r="D34" s="3" t="s">
        <v>73</v>
      </c>
      <c r="E34" s="3" t="n">
        <v>3</v>
      </c>
      <c r="F34" s="3" t="n">
        <v>11</v>
      </c>
      <c r="G34" s="3" t="s">
        <v>81</v>
      </c>
      <c r="H34" s="3" t="s">
        <v>76</v>
      </c>
      <c r="I34" s="3"/>
      <c r="J34" s="3"/>
      <c r="K34" s="3"/>
    </row>
    <row r="35" customFormat="false" ht="15" hidden="false" customHeight="true" outlineLevel="0" collapsed="false">
      <c r="A35" s="3" t="s">
        <v>74</v>
      </c>
      <c r="B35" s="3" t="s">
        <v>75</v>
      </c>
      <c r="C35" s="3" t="s">
        <v>80</v>
      </c>
      <c r="D35" s="3" t="s">
        <v>38</v>
      </c>
      <c r="E35" s="3" t="n">
        <v>5</v>
      </c>
      <c r="F35" s="3" t="n">
        <v>11</v>
      </c>
      <c r="G35" s="3" t="s">
        <v>81</v>
      </c>
      <c r="H35" s="3" t="s">
        <v>76</v>
      </c>
      <c r="I35" s="3"/>
      <c r="J35" s="3"/>
      <c r="K35" s="3"/>
    </row>
    <row r="36" customFormat="false" ht="15" hidden="false" customHeight="true" outlineLevel="0" collapsed="false">
      <c r="A36" s="3" t="s">
        <v>74</v>
      </c>
      <c r="B36" s="3" t="s">
        <v>89</v>
      </c>
      <c r="C36" s="3" t="s">
        <v>50</v>
      </c>
      <c r="D36" s="3" t="s">
        <v>36</v>
      </c>
      <c r="E36" s="3" t="n">
        <v>1</v>
      </c>
      <c r="F36" s="3" t="n">
        <v>10</v>
      </c>
      <c r="G36" s="3" t="s">
        <v>81</v>
      </c>
      <c r="H36" s="3" t="s">
        <v>90</v>
      </c>
      <c r="I36" s="3"/>
      <c r="J36" s="3"/>
      <c r="K36" s="3"/>
    </row>
    <row r="37" customFormat="false" ht="15" hidden="false" customHeight="true" outlineLevel="0" collapsed="false">
      <c r="A37" s="3" t="s">
        <v>74</v>
      </c>
      <c r="B37" s="3" t="s">
        <v>89</v>
      </c>
      <c r="C37" s="3" t="s">
        <v>50</v>
      </c>
      <c r="D37" s="3" t="s">
        <v>73</v>
      </c>
      <c r="E37" s="3" t="n">
        <v>1</v>
      </c>
      <c r="F37" s="3" t="n">
        <v>10</v>
      </c>
      <c r="G37" s="3" t="s">
        <v>81</v>
      </c>
      <c r="H37" s="3" t="s">
        <v>90</v>
      </c>
      <c r="I37" s="3"/>
      <c r="J37" s="3"/>
      <c r="K37" s="3"/>
    </row>
    <row r="38" customFormat="false" ht="15" hidden="false" customHeight="true" outlineLevel="0" collapsed="false">
      <c r="A38" s="3" t="s">
        <v>74</v>
      </c>
      <c r="B38" s="3" t="s">
        <v>89</v>
      </c>
      <c r="C38" s="3" t="s">
        <v>50</v>
      </c>
      <c r="D38" s="3" t="s">
        <v>38</v>
      </c>
      <c r="E38" s="3" t="n">
        <v>4</v>
      </c>
      <c r="F38" s="3" t="n">
        <v>10</v>
      </c>
      <c r="G38" s="3" t="s">
        <v>81</v>
      </c>
      <c r="H38" s="3" t="s">
        <v>90</v>
      </c>
      <c r="I38" s="3"/>
      <c r="J38" s="3"/>
      <c r="K38" s="3"/>
    </row>
    <row r="39" customFormat="false" ht="15" hidden="false" customHeight="true" outlineLevel="0" collapsed="false">
      <c r="A39" s="3" t="s">
        <v>74</v>
      </c>
      <c r="B39" s="3" t="s">
        <v>89</v>
      </c>
      <c r="C39" s="3" t="s">
        <v>50</v>
      </c>
      <c r="D39" s="3" t="s">
        <v>84</v>
      </c>
      <c r="E39" s="3" t="n">
        <v>4</v>
      </c>
      <c r="F39" s="3" t="n">
        <v>10</v>
      </c>
      <c r="G39" s="3" t="s">
        <v>81</v>
      </c>
      <c r="H39" s="3" t="s">
        <v>90</v>
      </c>
      <c r="I39" s="3"/>
      <c r="J39" s="3"/>
      <c r="K39" s="3"/>
    </row>
    <row r="40" customFormat="false" ht="15" hidden="false" customHeight="true" outlineLevel="0" collapsed="false">
      <c r="A40" s="3" t="s">
        <v>68</v>
      </c>
      <c r="B40" s="3" t="s">
        <v>91</v>
      </c>
      <c r="C40" s="3" t="s">
        <v>92</v>
      </c>
      <c r="D40" s="3" t="s">
        <v>36</v>
      </c>
      <c r="E40" s="3" t="n">
        <v>2</v>
      </c>
      <c r="F40" s="3" t="n">
        <v>10</v>
      </c>
      <c r="G40" s="3" t="s">
        <v>93</v>
      </c>
      <c r="H40" s="3" t="s">
        <v>94</v>
      </c>
      <c r="I40" s="3"/>
      <c r="J40" s="3"/>
      <c r="K40" s="3"/>
    </row>
    <row r="41" customFormat="false" ht="15" hidden="false" customHeight="true" outlineLevel="0" collapsed="false">
      <c r="A41" s="3" t="s">
        <v>68</v>
      </c>
      <c r="B41" s="3" t="s">
        <v>91</v>
      </c>
      <c r="C41" s="3" t="s">
        <v>92</v>
      </c>
      <c r="D41" s="3" t="s">
        <v>73</v>
      </c>
      <c r="E41" s="3" t="n">
        <v>2</v>
      </c>
      <c r="F41" s="3" t="n">
        <v>10</v>
      </c>
      <c r="G41" s="3" t="s">
        <v>93</v>
      </c>
      <c r="H41" s="3" t="s">
        <v>94</v>
      </c>
      <c r="I41" s="3"/>
      <c r="J41" s="3"/>
      <c r="K41" s="3"/>
    </row>
    <row r="42" customFormat="false" ht="15" hidden="false" customHeight="true" outlineLevel="0" collapsed="false">
      <c r="A42" s="3" t="s">
        <v>68</v>
      </c>
      <c r="B42" s="3" t="s">
        <v>91</v>
      </c>
      <c r="C42" s="3" t="s">
        <v>92</v>
      </c>
      <c r="D42" s="3" t="s">
        <v>38</v>
      </c>
      <c r="E42" s="3" t="n">
        <v>3</v>
      </c>
      <c r="F42" s="3" t="n">
        <v>10</v>
      </c>
      <c r="G42" s="3" t="s">
        <v>93</v>
      </c>
      <c r="H42" s="3" t="s">
        <v>94</v>
      </c>
      <c r="I42" s="3"/>
      <c r="J42" s="3"/>
      <c r="K42" s="3"/>
    </row>
    <row r="43" customFormat="false" ht="15" hidden="false" customHeight="true" outlineLevel="0" collapsed="false">
      <c r="A43" s="3" t="s">
        <v>68</v>
      </c>
      <c r="B43" s="3" t="s">
        <v>91</v>
      </c>
      <c r="C43" s="3" t="s">
        <v>92</v>
      </c>
      <c r="D43" s="3" t="s">
        <v>95</v>
      </c>
      <c r="E43" s="3" t="n">
        <v>3</v>
      </c>
      <c r="F43" s="3" t="n">
        <v>10</v>
      </c>
      <c r="G43" s="3" t="s">
        <v>93</v>
      </c>
      <c r="H43" s="3" t="s">
        <v>94</v>
      </c>
      <c r="I43" s="3"/>
      <c r="J43" s="3"/>
      <c r="K43" s="3"/>
    </row>
    <row r="44" customFormat="false" ht="15" hidden="false" customHeight="true" outlineLevel="0" collapsed="false">
      <c r="A44" s="3" t="s">
        <v>68</v>
      </c>
      <c r="B44" s="3" t="s">
        <v>82</v>
      </c>
      <c r="C44" s="3" t="s">
        <v>96</v>
      </c>
      <c r="D44" s="3" t="s">
        <v>36</v>
      </c>
      <c r="E44" s="3" t="n">
        <v>1</v>
      </c>
      <c r="F44" s="3" t="n">
        <v>9</v>
      </c>
      <c r="G44" s="3" t="s">
        <v>97</v>
      </c>
      <c r="H44" s="3" t="s">
        <v>98</v>
      </c>
      <c r="I44" s="3"/>
      <c r="J44" s="3"/>
      <c r="K44" s="3"/>
    </row>
    <row r="45" customFormat="false" ht="15" hidden="false" customHeight="true" outlineLevel="0" collapsed="false">
      <c r="A45" s="3" t="s">
        <v>68</v>
      </c>
      <c r="B45" s="3" t="s">
        <v>82</v>
      </c>
      <c r="C45" s="3" t="s">
        <v>96</v>
      </c>
      <c r="D45" s="3" t="s">
        <v>73</v>
      </c>
      <c r="E45" s="3" t="n">
        <v>1</v>
      </c>
      <c r="F45" s="3" t="n">
        <v>9</v>
      </c>
      <c r="G45" s="3" t="s">
        <v>97</v>
      </c>
      <c r="H45" s="3" t="s">
        <v>98</v>
      </c>
      <c r="I45" s="3"/>
      <c r="J45" s="3"/>
      <c r="K45" s="3"/>
    </row>
    <row r="46" customFormat="false" ht="15" hidden="false" customHeight="true" outlineLevel="0" collapsed="false">
      <c r="A46" s="3" t="s">
        <v>68</v>
      </c>
      <c r="B46" s="3" t="s">
        <v>82</v>
      </c>
      <c r="C46" s="3" t="s">
        <v>96</v>
      </c>
      <c r="D46" s="3" t="s">
        <v>38</v>
      </c>
      <c r="E46" s="3" t="n">
        <v>2</v>
      </c>
      <c r="F46" s="3" t="n">
        <v>9</v>
      </c>
      <c r="G46" s="3" t="s">
        <v>97</v>
      </c>
      <c r="H46" s="3" t="s">
        <v>98</v>
      </c>
      <c r="I46" s="3"/>
      <c r="J46" s="3"/>
      <c r="K46" s="3"/>
    </row>
    <row r="47" customFormat="false" ht="15" hidden="false" customHeight="true" outlineLevel="0" collapsed="false">
      <c r="A47" s="3" t="s">
        <v>68</v>
      </c>
      <c r="B47" s="3" t="s">
        <v>82</v>
      </c>
      <c r="C47" s="3" t="s">
        <v>96</v>
      </c>
      <c r="D47" s="3" t="s">
        <v>84</v>
      </c>
      <c r="E47" s="3" t="n">
        <v>2</v>
      </c>
      <c r="F47" s="3" t="n">
        <v>9</v>
      </c>
      <c r="G47" s="3" t="s">
        <v>97</v>
      </c>
      <c r="H47" s="3" t="s">
        <v>98</v>
      </c>
      <c r="I47" s="3"/>
      <c r="J47" s="3"/>
      <c r="K47" s="3"/>
    </row>
    <row r="48" customFormat="false" ht="15" hidden="false" customHeight="true" outlineLevel="0" collapsed="false">
      <c r="A48" s="3" t="s">
        <v>68</v>
      </c>
      <c r="B48" s="3" t="s">
        <v>82</v>
      </c>
      <c r="C48" s="3" t="s">
        <v>96</v>
      </c>
      <c r="D48" s="3" t="s">
        <v>95</v>
      </c>
      <c r="E48" s="3" t="n">
        <v>3</v>
      </c>
      <c r="F48" s="3" t="n">
        <v>9</v>
      </c>
      <c r="G48" s="3" t="s">
        <v>97</v>
      </c>
      <c r="H48" s="3" t="s">
        <v>98</v>
      </c>
      <c r="I48" s="3"/>
      <c r="J48" s="3"/>
      <c r="K48" s="3"/>
    </row>
    <row r="49" customFormat="false" ht="15" hidden="false" customHeight="true" outlineLevel="0" collapsed="false">
      <c r="A49" s="3" t="s">
        <v>74</v>
      </c>
      <c r="B49" s="3" t="s">
        <v>99</v>
      </c>
      <c r="C49" s="3" t="s">
        <v>54</v>
      </c>
      <c r="D49" s="3" t="s">
        <v>36</v>
      </c>
      <c r="E49" s="3" t="n">
        <v>1</v>
      </c>
      <c r="F49" s="3" t="n">
        <v>12</v>
      </c>
      <c r="G49" s="3" t="s">
        <v>97</v>
      </c>
      <c r="H49" s="3" t="s">
        <v>100</v>
      </c>
      <c r="I49" s="3"/>
      <c r="J49" s="3"/>
      <c r="K49" s="3"/>
    </row>
    <row r="50" customFormat="false" ht="15" hidden="false" customHeight="true" outlineLevel="0" collapsed="false">
      <c r="A50" s="3" t="s">
        <v>74</v>
      </c>
      <c r="B50" s="3" t="s">
        <v>99</v>
      </c>
      <c r="C50" s="3" t="s">
        <v>54</v>
      </c>
      <c r="D50" s="3" t="s">
        <v>73</v>
      </c>
      <c r="E50" s="3" t="n">
        <v>1</v>
      </c>
      <c r="F50" s="3" t="n">
        <v>12</v>
      </c>
      <c r="G50" s="3" t="s">
        <v>97</v>
      </c>
      <c r="H50" s="3" t="s">
        <v>100</v>
      </c>
      <c r="I50" s="3"/>
      <c r="J50" s="3"/>
      <c r="K50" s="3"/>
    </row>
    <row r="51" customFormat="false" ht="15" hidden="false" customHeight="true" outlineLevel="0" collapsed="false">
      <c r="A51" s="3" t="s">
        <v>74</v>
      </c>
      <c r="B51" s="3" t="s">
        <v>99</v>
      </c>
      <c r="C51" s="3" t="s">
        <v>54</v>
      </c>
      <c r="D51" s="3" t="s">
        <v>38</v>
      </c>
      <c r="E51" s="3" t="n">
        <v>4</v>
      </c>
      <c r="F51" s="3" t="n">
        <v>12</v>
      </c>
      <c r="G51" s="3" t="s">
        <v>97</v>
      </c>
      <c r="H51" s="3" t="s">
        <v>100</v>
      </c>
      <c r="I51" s="3"/>
      <c r="J51" s="3"/>
      <c r="K51" s="3"/>
    </row>
    <row r="52" customFormat="false" ht="15" hidden="false" customHeight="true" outlineLevel="0" collapsed="false">
      <c r="A52" s="3" t="s">
        <v>74</v>
      </c>
      <c r="B52" s="3" t="s">
        <v>99</v>
      </c>
      <c r="C52" s="3" t="s">
        <v>54</v>
      </c>
      <c r="D52" s="3" t="s">
        <v>84</v>
      </c>
      <c r="E52" s="3" t="n">
        <v>4</v>
      </c>
      <c r="F52" s="3" t="n">
        <v>12</v>
      </c>
      <c r="G52" s="3" t="s">
        <v>97</v>
      </c>
      <c r="H52" s="3" t="s">
        <v>100</v>
      </c>
      <c r="I52" s="3"/>
      <c r="J52" s="3"/>
      <c r="K52" s="3"/>
    </row>
    <row r="53" customFormat="false" ht="15" hidden="false" customHeight="true" outlineLevel="0" collapsed="false">
      <c r="A53" s="3" t="s">
        <v>74</v>
      </c>
      <c r="B53" s="3" t="s">
        <v>99</v>
      </c>
      <c r="C53" s="3" t="s">
        <v>54</v>
      </c>
      <c r="D53" s="3" t="s">
        <v>95</v>
      </c>
      <c r="E53" s="3" t="n">
        <v>2</v>
      </c>
      <c r="F53" s="3" t="n">
        <v>12</v>
      </c>
      <c r="G53" s="3" t="s">
        <v>97</v>
      </c>
      <c r="H53" s="3" t="s">
        <v>100</v>
      </c>
      <c r="I53" s="3"/>
      <c r="J53" s="3"/>
      <c r="K53" s="3"/>
    </row>
    <row r="54" customFormat="false" ht="15" hidden="false" customHeight="true" outlineLevel="0" collapsed="false">
      <c r="A54" s="3" t="s">
        <v>74</v>
      </c>
      <c r="B54" s="3" t="s">
        <v>89</v>
      </c>
      <c r="C54" s="3" t="s">
        <v>54</v>
      </c>
      <c r="D54" s="3" t="s">
        <v>36</v>
      </c>
      <c r="E54" s="3" t="n">
        <v>1</v>
      </c>
      <c r="F54" s="3" t="n">
        <v>12</v>
      </c>
      <c r="G54" s="3" t="s">
        <v>97</v>
      </c>
      <c r="H54" s="3" t="s">
        <v>100</v>
      </c>
      <c r="I54" s="3"/>
      <c r="J54" s="3"/>
      <c r="K54" s="3"/>
    </row>
    <row r="55" customFormat="false" ht="15" hidden="false" customHeight="true" outlineLevel="0" collapsed="false">
      <c r="A55" s="3" t="s">
        <v>74</v>
      </c>
      <c r="B55" s="3" t="s">
        <v>89</v>
      </c>
      <c r="C55" s="3" t="s">
        <v>54</v>
      </c>
      <c r="D55" s="3" t="s">
        <v>73</v>
      </c>
      <c r="E55" s="3" t="n">
        <v>1</v>
      </c>
      <c r="F55" s="3" t="n">
        <v>12</v>
      </c>
      <c r="G55" s="3" t="s">
        <v>97</v>
      </c>
      <c r="H55" s="3" t="s">
        <v>100</v>
      </c>
      <c r="I55" s="3"/>
      <c r="J55" s="3"/>
      <c r="K55" s="3"/>
    </row>
    <row r="56" customFormat="false" ht="15" hidden="false" customHeight="true" outlineLevel="0" collapsed="false">
      <c r="A56" s="3" t="s">
        <v>74</v>
      </c>
      <c r="B56" s="3" t="s">
        <v>89</v>
      </c>
      <c r="C56" s="3" t="s">
        <v>54</v>
      </c>
      <c r="D56" s="3" t="s">
        <v>38</v>
      </c>
      <c r="E56" s="3" t="n">
        <v>4</v>
      </c>
      <c r="F56" s="3" t="n">
        <v>12</v>
      </c>
      <c r="G56" s="3" t="s">
        <v>97</v>
      </c>
      <c r="H56" s="3" t="s">
        <v>100</v>
      </c>
      <c r="I56" s="3"/>
      <c r="J56" s="3"/>
      <c r="K56" s="3"/>
    </row>
    <row r="57" customFormat="false" ht="15" hidden="false" customHeight="true" outlineLevel="0" collapsed="false">
      <c r="A57" s="3" t="s">
        <v>74</v>
      </c>
      <c r="B57" s="3" t="s">
        <v>89</v>
      </c>
      <c r="C57" s="3" t="s">
        <v>54</v>
      </c>
      <c r="D57" s="3" t="s">
        <v>84</v>
      </c>
      <c r="E57" s="3" t="n">
        <v>4</v>
      </c>
      <c r="F57" s="3" t="n">
        <v>12</v>
      </c>
      <c r="G57" s="3" t="s">
        <v>97</v>
      </c>
      <c r="H57" s="3" t="s">
        <v>100</v>
      </c>
      <c r="I57" s="3"/>
      <c r="J57" s="3"/>
      <c r="K57" s="3"/>
    </row>
    <row r="58" customFormat="false" ht="15" hidden="false" customHeight="true" outlineLevel="0" collapsed="false">
      <c r="A58" s="3" t="s">
        <v>74</v>
      </c>
      <c r="B58" s="3" t="s">
        <v>89</v>
      </c>
      <c r="C58" s="3" t="s">
        <v>54</v>
      </c>
      <c r="D58" s="3" t="s">
        <v>95</v>
      </c>
      <c r="E58" s="3" t="n">
        <v>2</v>
      </c>
      <c r="F58" s="3" t="n">
        <v>12</v>
      </c>
      <c r="G58" s="3" t="s">
        <v>97</v>
      </c>
      <c r="H58" s="3" t="s">
        <v>100</v>
      </c>
      <c r="I58" s="3"/>
      <c r="J58" s="3"/>
      <c r="K58" s="3"/>
    </row>
    <row r="59" customFormat="false" ht="15" hidden="false" customHeight="true" outlineLevel="0" collapsed="false">
      <c r="A59" s="3" t="s">
        <v>74</v>
      </c>
      <c r="B59" s="3" t="s">
        <v>101</v>
      </c>
      <c r="C59" s="3" t="s">
        <v>54</v>
      </c>
      <c r="D59" s="3" t="s">
        <v>36</v>
      </c>
      <c r="E59" s="3" t="n">
        <v>1</v>
      </c>
      <c r="F59" s="3" t="n">
        <v>13</v>
      </c>
      <c r="G59" s="3" t="s">
        <v>97</v>
      </c>
      <c r="H59" s="3" t="s">
        <v>102</v>
      </c>
      <c r="I59" s="3"/>
      <c r="J59" s="3"/>
      <c r="K59" s="3"/>
    </row>
    <row r="60" customFormat="false" ht="15" hidden="false" customHeight="true" outlineLevel="0" collapsed="false">
      <c r="A60" s="3" t="s">
        <v>74</v>
      </c>
      <c r="B60" s="3" t="s">
        <v>101</v>
      </c>
      <c r="C60" s="3" t="s">
        <v>54</v>
      </c>
      <c r="D60" s="3" t="s">
        <v>73</v>
      </c>
      <c r="E60" s="3" t="n">
        <v>1</v>
      </c>
      <c r="F60" s="3" t="n">
        <v>13</v>
      </c>
      <c r="G60" s="3" t="s">
        <v>97</v>
      </c>
      <c r="H60" s="3" t="s">
        <v>102</v>
      </c>
      <c r="I60" s="3"/>
      <c r="J60" s="3"/>
      <c r="K60" s="3"/>
    </row>
    <row r="61" customFormat="false" ht="15" hidden="false" customHeight="true" outlineLevel="0" collapsed="false">
      <c r="A61" s="3" t="s">
        <v>74</v>
      </c>
      <c r="B61" s="3" t="s">
        <v>101</v>
      </c>
      <c r="C61" s="3" t="s">
        <v>54</v>
      </c>
      <c r="D61" s="3" t="s">
        <v>38</v>
      </c>
      <c r="E61" s="3" t="n">
        <v>4</v>
      </c>
      <c r="F61" s="3" t="n">
        <v>13</v>
      </c>
      <c r="G61" s="3" t="s">
        <v>97</v>
      </c>
      <c r="H61" s="3" t="s">
        <v>102</v>
      </c>
      <c r="I61" s="3"/>
      <c r="J61" s="3"/>
      <c r="K61" s="3"/>
    </row>
    <row r="62" customFormat="false" ht="15" hidden="false" customHeight="true" outlineLevel="0" collapsed="false">
      <c r="A62" s="3" t="s">
        <v>74</v>
      </c>
      <c r="B62" s="3" t="s">
        <v>101</v>
      </c>
      <c r="C62" s="3" t="s">
        <v>54</v>
      </c>
      <c r="D62" s="3" t="s">
        <v>84</v>
      </c>
      <c r="E62" s="3" t="n">
        <v>5</v>
      </c>
      <c r="F62" s="3" t="n">
        <v>13</v>
      </c>
      <c r="G62" s="3" t="s">
        <v>97</v>
      </c>
      <c r="H62" s="3" t="s">
        <v>102</v>
      </c>
      <c r="I62" s="3"/>
      <c r="J62" s="3"/>
      <c r="K62" s="3"/>
    </row>
    <row r="63" customFormat="false" ht="15" hidden="false" customHeight="true" outlineLevel="0" collapsed="false">
      <c r="A63" s="3" t="s">
        <v>74</v>
      </c>
      <c r="B63" s="3" t="s">
        <v>101</v>
      </c>
      <c r="C63" s="3" t="s">
        <v>54</v>
      </c>
      <c r="D63" s="3" t="s">
        <v>95</v>
      </c>
      <c r="E63" s="3" t="n">
        <v>2</v>
      </c>
      <c r="F63" s="3" t="n">
        <v>13</v>
      </c>
      <c r="G63" s="3" t="s">
        <v>97</v>
      </c>
      <c r="H63" s="3" t="s">
        <v>102</v>
      </c>
      <c r="I63" s="3"/>
      <c r="J63" s="3"/>
      <c r="K63" s="3"/>
    </row>
    <row r="64" customFormat="false" ht="15" hidden="false" customHeight="true" outlineLevel="0" collapsed="false">
      <c r="A64" s="3" t="s">
        <v>103</v>
      </c>
      <c r="B64" s="3" t="s">
        <v>104</v>
      </c>
      <c r="C64" s="3" t="s">
        <v>105</v>
      </c>
      <c r="D64" s="3" t="s">
        <v>73</v>
      </c>
      <c r="E64" s="3" t="n">
        <v>1</v>
      </c>
      <c r="F64" s="3" t="n">
        <v>6</v>
      </c>
      <c r="G64" s="3" t="s">
        <v>106</v>
      </c>
      <c r="H64" s="3" t="s">
        <v>107</v>
      </c>
      <c r="I64" s="3"/>
      <c r="J64" s="3"/>
      <c r="K64" s="3"/>
    </row>
    <row r="65" customFormat="false" ht="15" hidden="false" customHeight="true" outlineLevel="0" collapsed="false">
      <c r="A65" s="3" t="s">
        <v>103</v>
      </c>
      <c r="B65" s="3" t="s">
        <v>104</v>
      </c>
      <c r="C65" s="3" t="s">
        <v>105</v>
      </c>
      <c r="D65" s="3" t="s">
        <v>108</v>
      </c>
      <c r="E65" s="3" t="n">
        <v>1</v>
      </c>
      <c r="F65" s="3" t="n">
        <v>6</v>
      </c>
      <c r="G65" s="3" t="s">
        <v>106</v>
      </c>
      <c r="H65" s="3" t="s">
        <v>107</v>
      </c>
      <c r="I65" s="3"/>
      <c r="J65" s="3"/>
      <c r="K65" s="3"/>
    </row>
    <row r="66" customFormat="false" ht="15" hidden="false" customHeight="true" outlineLevel="0" collapsed="false">
      <c r="A66" s="3" t="s">
        <v>103</v>
      </c>
      <c r="B66" s="3" t="s">
        <v>104</v>
      </c>
      <c r="C66" s="3" t="s">
        <v>105</v>
      </c>
      <c r="D66" s="3" t="s">
        <v>109</v>
      </c>
      <c r="E66" s="3" t="n">
        <v>4</v>
      </c>
      <c r="F66" s="3" t="n">
        <v>6</v>
      </c>
      <c r="G66" s="3" t="s">
        <v>106</v>
      </c>
      <c r="H66" s="3" t="s">
        <v>107</v>
      </c>
      <c r="I66" s="3"/>
      <c r="J66" s="3"/>
      <c r="K66" s="3"/>
    </row>
    <row r="67" customFormat="false" ht="15" hidden="false" customHeight="true" outlineLevel="0" collapsed="false">
      <c r="A67" s="3" t="s">
        <v>103</v>
      </c>
      <c r="B67" s="3" t="s">
        <v>110</v>
      </c>
      <c r="C67" s="3" t="s">
        <v>111</v>
      </c>
      <c r="D67" s="3" t="s">
        <v>73</v>
      </c>
      <c r="E67" s="3" t="n">
        <v>2</v>
      </c>
      <c r="F67" s="3" t="n">
        <v>7</v>
      </c>
      <c r="G67" s="3" t="s">
        <v>106</v>
      </c>
      <c r="H67" s="3" t="s">
        <v>112</v>
      </c>
      <c r="I67" s="3"/>
      <c r="J67" s="3"/>
      <c r="K67" s="3"/>
    </row>
    <row r="68" customFormat="false" ht="15" hidden="false" customHeight="true" outlineLevel="0" collapsed="false">
      <c r="A68" s="3" t="s">
        <v>103</v>
      </c>
      <c r="B68" s="3" t="s">
        <v>110</v>
      </c>
      <c r="C68" s="3" t="s">
        <v>111</v>
      </c>
      <c r="D68" s="3" t="s">
        <v>108</v>
      </c>
      <c r="E68" s="3" t="n">
        <v>2</v>
      </c>
      <c r="F68" s="3" t="n">
        <v>7</v>
      </c>
      <c r="G68" s="3" t="s">
        <v>106</v>
      </c>
      <c r="H68" s="3" t="s">
        <v>112</v>
      </c>
      <c r="I68" s="3"/>
      <c r="J68" s="3"/>
      <c r="K68" s="3"/>
    </row>
    <row r="69" customFormat="false" ht="15" hidden="false" customHeight="true" outlineLevel="0" collapsed="false">
      <c r="A69" s="3" t="s">
        <v>103</v>
      </c>
      <c r="B69" s="3" t="s">
        <v>110</v>
      </c>
      <c r="C69" s="3" t="s">
        <v>111</v>
      </c>
      <c r="D69" s="3" t="s">
        <v>109</v>
      </c>
      <c r="E69" s="3" t="n">
        <v>3</v>
      </c>
      <c r="F69" s="3" t="n">
        <v>7</v>
      </c>
      <c r="G69" s="3" t="s">
        <v>106</v>
      </c>
      <c r="H69" s="3" t="s">
        <v>112</v>
      </c>
      <c r="I69" s="3"/>
      <c r="J69" s="3"/>
      <c r="K69" s="3"/>
    </row>
    <row r="70" customFormat="false" ht="15" hidden="false" customHeight="true" outlineLevel="0" collapsed="false">
      <c r="A70" s="3" t="s">
        <v>113</v>
      </c>
      <c r="B70" s="3" t="s">
        <v>89</v>
      </c>
      <c r="C70" s="3" t="s">
        <v>114</v>
      </c>
      <c r="D70" s="3" t="s">
        <v>73</v>
      </c>
      <c r="E70" s="3" t="n">
        <v>1</v>
      </c>
      <c r="F70" s="3" t="n">
        <v>6</v>
      </c>
      <c r="G70" s="3" t="s">
        <v>115</v>
      </c>
      <c r="H70" s="3" t="s">
        <v>107</v>
      </c>
      <c r="I70" s="3"/>
      <c r="J70" s="3"/>
      <c r="K70" s="3"/>
    </row>
    <row r="71" customFormat="false" ht="15" hidden="false" customHeight="false" outlineLevel="0" collapsed="false">
      <c r="A71" s="1" t="s">
        <v>113</v>
      </c>
      <c r="B71" s="1" t="s">
        <v>89</v>
      </c>
      <c r="C71" s="1" t="s">
        <v>114</v>
      </c>
      <c r="D71" s="1" t="s">
        <v>108</v>
      </c>
      <c r="E71" s="1" t="n">
        <v>1</v>
      </c>
      <c r="F71" s="1" t="n">
        <v>6</v>
      </c>
      <c r="G71" s="1" t="s">
        <v>115</v>
      </c>
      <c r="H71" s="1" t="s">
        <v>107</v>
      </c>
    </row>
    <row r="72" customFormat="false" ht="15" hidden="false" customHeight="false" outlineLevel="0" collapsed="false">
      <c r="A72" s="1" t="s">
        <v>113</v>
      </c>
      <c r="B72" s="1" t="s">
        <v>89</v>
      </c>
      <c r="C72" s="1" t="s">
        <v>114</v>
      </c>
      <c r="D72" s="1" t="s">
        <v>109</v>
      </c>
      <c r="E72" s="1" t="n">
        <v>4</v>
      </c>
      <c r="F72" s="1" t="n">
        <v>6</v>
      </c>
      <c r="G72" s="1" t="s">
        <v>115</v>
      </c>
      <c r="H72" s="1" t="s">
        <v>107</v>
      </c>
    </row>
    <row r="73" customFormat="false" ht="15" hidden="false" customHeight="false" outlineLevel="0" collapsed="false">
      <c r="A73" s="1" t="s">
        <v>113</v>
      </c>
      <c r="B73" s="1" t="s">
        <v>87</v>
      </c>
      <c r="C73" s="1" t="s">
        <v>80</v>
      </c>
      <c r="D73" s="1" t="s">
        <v>73</v>
      </c>
      <c r="E73" s="1" t="n">
        <v>1</v>
      </c>
      <c r="F73" s="1" t="n">
        <v>5</v>
      </c>
      <c r="G73" s="1" t="s">
        <v>115</v>
      </c>
      <c r="H73" s="1" t="s">
        <v>116</v>
      </c>
    </row>
    <row r="74" customFormat="false" ht="15" hidden="false" customHeight="false" outlineLevel="0" collapsed="false">
      <c r="A74" s="1" t="s">
        <v>113</v>
      </c>
      <c r="B74" s="1" t="s">
        <v>87</v>
      </c>
      <c r="C74" s="1" t="s">
        <v>80</v>
      </c>
      <c r="D74" s="1" t="s">
        <v>108</v>
      </c>
      <c r="E74" s="1" t="n">
        <v>1</v>
      </c>
      <c r="F74" s="1" t="n">
        <v>5</v>
      </c>
      <c r="G74" s="1" t="s">
        <v>115</v>
      </c>
      <c r="H74" s="1" t="s">
        <v>116</v>
      </c>
    </row>
    <row r="75" customFormat="false" ht="15" hidden="false" customHeight="false" outlineLevel="0" collapsed="false">
      <c r="A75" s="1" t="s">
        <v>113</v>
      </c>
      <c r="B75" s="1" t="s">
        <v>87</v>
      </c>
      <c r="C75" s="1" t="s">
        <v>80</v>
      </c>
      <c r="D75" s="1" t="s">
        <v>109</v>
      </c>
      <c r="E75" s="1" t="n">
        <v>3</v>
      </c>
      <c r="F75" s="1" t="n">
        <v>5</v>
      </c>
      <c r="G75" s="1" t="s">
        <v>115</v>
      </c>
      <c r="H75" s="1" t="s">
        <v>116</v>
      </c>
    </row>
    <row r="76" customFormat="false" ht="15" hidden="false" customHeight="false" outlineLevel="0" collapsed="false">
      <c r="A76" s="1" t="s">
        <v>113</v>
      </c>
      <c r="B76" s="1" t="s">
        <v>75</v>
      </c>
      <c r="C76" s="1" t="s">
        <v>117</v>
      </c>
      <c r="D76" s="1" t="s">
        <v>73</v>
      </c>
      <c r="E76" s="1" t="n">
        <v>3</v>
      </c>
      <c r="F76" s="1" t="n">
        <v>11</v>
      </c>
      <c r="G76" s="1" t="s">
        <v>115</v>
      </c>
      <c r="H76" s="1" t="s">
        <v>118</v>
      </c>
    </row>
    <row r="77" customFormat="false" ht="15" hidden="false" customHeight="false" outlineLevel="0" collapsed="false">
      <c r="A77" s="1" t="s">
        <v>113</v>
      </c>
      <c r="B77" s="1" t="s">
        <v>75</v>
      </c>
      <c r="C77" s="1" t="s">
        <v>117</v>
      </c>
      <c r="D77" s="1" t="s">
        <v>108</v>
      </c>
      <c r="E77" s="1" t="n">
        <v>3</v>
      </c>
      <c r="F77" s="1" t="n">
        <v>11</v>
      </c>
      <c r="G77" s="1" t="s">
        <v>115</v>
      </c>
      <c r="H77" s="1" t="s">
        <v>118</v>
      </c>
    </row>
    <row r="78" customFormat="false" ht="15" hidden="false" customHeight="false" outlineLevel="0" collapsed="false">
      <c r="A78" s="1" t="s">
        <v>113</v>
      </c>
      <c r="B78" s="1" t="s">
        <v>75</v>
      </c>
      <c r="C78" s="1" t="s">
        <v>117</v>
      </c>
      <c r="D78" s="1" t="s">
        <v>109</v>
      </c>
      <c r="E78" s="1" t="n">
        <v>5</v>
      </c>
      <c r="F78" s="1" t="n">
        <v>11</v>
      </c>
      <c r="G78" s="1" t="s">
        <v>115</v>
      </c>
      <c r="H78" s="1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5.89"/>
    <col collapsed="false" customWidth="true" hidden="false" outlineLevel="0" max="2" min="2" style="1" width="17.03"/>
    <col collapsed="false" customWidth="true" hidden="false" outlineLevel="0" max="3" min="3" style="1" width="20.43"/>
    <col collapsed="false" customWidth="true" hidden="false" outlineLevel="0" max="4" min="4" style="1" width="56.76"/>
    <col collapsed="false" customWidth="true" hidden="false" outlineLevel="0" max="5" min="5" style="1" width="34.06"/>
    <col collapsed="false" customWidth="true" hidden="false" outlineLevel="0" max="6" min="6" style="1" width="18.16"/>
  </cols>
  <sheetData>
    <row r="1" customFormat="false" ht="15" hidden="false" customHeight="true" outlineLevel="0" collapsed="false">
      <c r="A1" s="4" t="s">
        <v>61</v>
      </c>
      <c r="B1" s="4" t="s">
        <v>119</v>
      </c>
      <c r="C1" s="4" t="s">
        <v>120</v>
      </c>
      <c r="D1" s="4" t="s">
        <v>121</v>
      </c>
      <c r="E1" s="4" t="s">
        <v>122</v>
      </c>
      <c r="F1" s="4" t="s">
        <v>66</v>
      </c>
      <c r="G1" s="3"/>
      <c r="H1" s="3"/>
      <c r="I1" s="3"/>
      <c r="J1" s="3"/>
      <c r="K1" s="3"/>
    </row>
    <row r="2" customFormat="false" ht="15" hidden="false" customHeight="true" outlineLevel="0" collapsed="false">
      <c r="A2" s="3" t="s">
        <v>68</v>
      </c>
      <c r="B2" s="3" t="s">
        <v>110</v>
      </c>
      <c r="C2" s="3" t="s">
        <v>69</v>
      </c>
      <c r="D2" s="3" t="s">
        <v>123</v>
      </c>
      <c r="E2" s="3" t="s">
        <v>124</v>
      </c>
      <c r="F2" s="3" t="s">
        <v>125</v>
      </c>
      <c r="G2" s="3"/>
      <c r="H2" s="3"/>
      <c r="I2" s="3"/>
      <c r="J2" s="3"/>
      <c r="K2" s="3"/>
    </row>
    <row r="3" customFormat="false" ht="15" hidden="false" customHeight="true" outlineLevel="0" collapsed="false">
      <c r="A3" s="3" t="s">
        <v>68</v>
      </c>
      <c r="B3" s="3" t="s">
        <v>110</v>
      </c>
      <c r="C3" s="3" t="s">
        <v>126</v>
      </c>
      <c r="D3" s="3" t="s">
        <v>127</v>
      </c>
      <c r="E3" s="3" t="s">
        <v>124</v>
      </c>
      <c r="F3" s="3" t="s">
        <v>125</v>
      </c>
      <c r="G3" s="3"/>
      <c r="H3" s="3"/>
      <c r="I3" s="3"/>
      <c r="J3" s="3"/>
      <c r="K3" s="3"/>
    </row>
    <row r="4" customFormat="false" ht="15" hidden="false" customHeight="true" outlineLevel="0" collapsed="false">
      <c r="A4" s="3" t="s">
        <v>68</v>
      </c>
      <c r="B4" s="3" t="s">
        <v>110</v>
      </c>
      <c r="C4" s="3" t="s">
        <v>128</v>
      </c>
      <c r="D4" s="3" t="s">
        <v>129</v>
      </c>
      <c r="E4" s="3" t="s">
        <v>124</v>
      </c>
      <c r="F4" s="3" t="s">
        <v>125</v>
      </c>
      <c r="G4" s="3"/>
      <c r="H4" s="3"/>
      <c r="I4" s="3"/>
      <c r="J4" s="3"/>
      <c r="K4" s="3"/>
    </row>
    <row r="5" customFormat="false" ht="15" hidden="false" customHeight="true" outlineLevel="0" collapsed="false">
      <c r="A5" s="3" t="s">
        <v>68</v>
      </c>
      <c r="B5" s="3" t="s">
        <v>110</v>
      </c>
      <c r="C5" s="3" t="s">
        <v>130</v>
      </c>
      <c r="D5" s="3" t="s">
        <v>131</v>
      </c>
      <c r="E5" s="3" t="s">
        <v>124</v>
      </c>
      <c r="F5" s="3" t="s">
        <v>125</v>
      </c>
      <c r="G5" s="3"/>
      <c r="H5" s="3"/>
      <c r="I5" s="3"/>
      <c r="J5" s="3"/>
      <c r="K5" s="3"/>
    </row>
    <row r="6" customFormat="false" ht="15" hidden="false" customHeight="true" outlineLevel="0" collapsed="false">
      <c r="A6" s="3" t="s">
        <v>68</v>
      </c>
      <c r="B6" s="3" t="s">
        <v>110</v>
      </c>
      <c r="C6" s="3" t="s">
        <v>132</v>
      </c>
      <c r="D6" s="3" t="s">
        <v>133</v>
      </c>
      <c r="E6" s="3" t="s">
        <v>134</v>
      </c>
      <c r="F6" s="3" t="s">
        <v>125</v>
      </c>
      <c r="G6" s="3"/>
      <c r="H6" s="3"/>
      <c r="I6" s="3"/>
      <c r="J6" s="3"/>
      <c r="K6" s="3"/>
    </row>
    <row r="7" customFormat="false" ht="15" hidden="false" customHeight="true" outlineLevel="0" collapsed="false">
      <c r="A7" s="3" t="s">
        <v>68</v>
      </c>
      <c r="B7" s="3" t="s">
        <v>110</v>
      </c>
      <c r="C7" s="3" t="s">
        <v>135</v>
      </c>
      <c r="D7" s="3" t="s">
        <v>136</v>
      </c>
      <c r="E7" s="3" t="s">
        <v>134</v>
      </c>
      <c r="F7" s="3" t="s">
        <v>125</v>
      </c>
      <c r="G7" s="3"/>
      <c r="H7" s="3"/>
      <c r="I7" s="3"/>
      <c r="J7" s="3"/>
      <c r="K7" s="3"/>
    </row>
    <row r="8" customFormat="false" ht="15" hidden="false" customHeight="true" outlineLevel="0" collapsed="false">
      <c r="A8" s="3" t="s">
        <v>68</v>
      </c>
      <c r="B8" s="3" t="s">
        <v>110</v>
      </c>
      <c r="C8" s="3" t="s">
        <v>137</v>
      </c>
      <c r="D8" s="3" t="s">
        <v>138</v>
      </c>
      <c r="E8" s="3" t="s">
        <v>134</v>
      </c>
      <c r="F8" s="3" t="s">
        <v>125</v>
      </c>
      <c r="G8" s="3"/>
      <c r="H8" s="3"/>
      <c r="I8" s="3"/>
      <c r="J8" s="3"/>
      <c r="K8" s="3"/>
    </row>
    <row r="9" customFormat="false" ht="15" hidden="false" customHeight="true" outlineLevel="0" collapsed="false">
      <c r="A9" s="3" t="s">
        <v>68</v>
      </c>
      <c r="B9" s="3" t="s">
        <v>139</v>
      </c>
      <c r="C9" s="3" t="s">
        <v>140</v>
      </c>
      <c r="D9" s="3" t="s">
        <v>141</v>
      </c>
      <c r="E9" s="3" t="s">
        <v>142</v>
      </c>
      <c r="F9" s="3" t="s">
        <v>125</v>
      </c>
      <c r="G9" s="3"/>
      <c r="H9" s="3"/>
      <c r="I9" s="3"/>
      <c r="J9" s="3"/>
      <c r="K9" s="3"/>
    </row>
    <row r="10" customFormat="false" ht="15" hidden="false" customHeight="true" outlineLevel="0" collapsed="false">
      <c r="A10" s="3" t="s">
        <v>68</v>
      </c>
      <c r="B10" s="3" t="s">
        <v>139</v>
      </c>
      <c r="C10" s="3" t="s">
        <v>143</v>
      </c>
      <c r="D10" s="3" t="s">
        <v>144</v>
      </c>
      <c r="E10" s="3" t="s">
        <v>145</v>
      </c>
      <c r="F10" s="3" t="s">
        <v>125</v>
      </c>
      <c r="G10" s="3"/>
      <c r="H10" s="3"/>
      <c r="I10" s="3"/>
      <c r="J10" s="3"/>
      <c r="K10" s="3"/>
    </row>
    <row r="11" customFormat="false" ht="15" hidden="false" customHeight="true" outlineLevel="0" collapsed="false">
      <c r="A11" s="3" t="s">
        <v>68</v>
      </c>
      <c r="B11" s="3" t="s">
        <v>146</v>
      </c>
      <c r="C11" s="3" t="s">
        <v>147</v>
      </c>
      <c r="D11" s="3" t="s">
        <v>148</v>
      </c>
      <c r="E11" s="3" t="s">
        <v>149</v>
      </c>
      <c r="F11" s="3" t="s">
        <v>125</v>
      </c>
      <c r="G11" s="3"/>
      <c r="H11" s="3"/>
      <c r="I11" s="3"/>
      <c r="J11" s="3"/>
      <c r="K11" s="3"/>
    </row>
    <row r="12" customFormat="false" ht="15" hidden="false" customHeight="true" outlineLevel="0" collapsed="false">
      <c r="A12" s="3" t="s">
        <v>68</v>
      </c>
      <c r="B12" s="3" t="s">
        <v>150</v>
      </c>
      <c r="C12" s="3" t="s">
        <v>151</v>
      </c>
      <c r="D12" s="3" t="s">
        <v>152</v>
      </c>
      <c r="E12" s="3" t="s">
        <v>153</v>
      </c>
      <c r="F12" s="3" t="s">
        <v>125</v>
      </c>
      <c r="G12" s="3"/>
      <c r="H12" s="3"/>
      <c r="I12" s="3"/>
      <c r="J12" s="3"/>
      <c r="K12" s="3"/>
    </row>
    <row r="13" customFormat="false" ht="15" hidden="false" customHeight="true" outlineLevel="0" collapsed="false">
      <c r="A13" s="3" t="s">
        <v>68</v>
      </c>
      <c r="B13" s="3" t="s">
        <v>154</v>
      </c>
      <c r="C13" s="3" t="s">
        <v>155</v>
      </c>
      <c r="D13" s="3" t="s">
        <v>156</v>
      </c>
      <c r="E13" s="3" t="s">
        <v>153</v>
      </c>
      <c r="F13" s="3" t="s">
        <v>125</v>
      </c>
      <c r="G13" s="3"/>
      <c r="H13" s="3"/>
      <c r="I13" s="3"/>
      <c r="J13" s="3"/>
      <c r="K13" s="3"/>
    </row>
    <row r="14" customFormat="false" ht="15" hidden="false" customHeight="true" outlineLevel="0" collapsed="false">
      <c r="A14" s="3" t="s">
        <v>68</v>
      </c>
      <c r="B14" s="3" t="s">
        <v>154</v>
      </c>
      <c r="C14" s="3" t="s">
        <v>157</v>
      </c>
      <c r="D14" s="3" t="s">
        <v>158</v>
      </c>
      <c r="E14" s="3" t="s">
        <v>159</v>
      </c>
      <c r="F14" s="3" t="s">
        <v>125</v>
      </c>
      <c r="G14" s="3"/>
      <c r="H14" s="3"/>
      <c r="I14" s="3"/>
      <c r="J14" s="3"/>
      <c r="K14" s="3"/>
    </row>
    <row r="15" customFormat="false" ht="15" hidden="false" customHeight="true" outlineLevel="0" collapsed="false">
      <c r="A15" s="3" t="s">
        <v>68</v>
      </c>
      <c r="B15" s="3" t="s">
        <v>160</v>
      </c>
      <c r="C15" s="3" t="s">
        <v>161</v>
      </c>
      <c r="D15" s="3" t="s">
        <v>162</v>
      </c>
      <c r="E15" s="3" t="s">
        <v>163</v>
      </c>
      <c r="F15" s="3" t="s">
        <v>125</v>
      </c>
      <c r="G15" s="3"/>
      <c r="H15" s="3"/>
      <c r="I15" s="3"/>
      <c r="J15" s="3"/>
      <c r="K15" s="3"/>
    </row>
    <row r="16" customFormat="false" ht="15" hidden="false" customHeight="true" outlineLevel="0" collapsed="false">
      <c r="A16" s="3" t="s">
        <v>68</v>
      </c>
      <c r="B16" s="3" t="s">
        <v>164</v>
      </c>
      <c r="C16" s="3" t="s">
        <v>85</v>
      </c>
      <c r="D16" s="3" t="s">
        <v>165</v>
      </c>
      <c r="E16" s="3" t="s">
        <v>166</v>
      </c>
      <c r="F16" s="3" t="s">
        <v>125</v>
      </c>
      <c r="G16" s="3"/>
      <c r="H16" s="3"/>
      <c r="I16" s="3"/>
      <c r="J16" s="3"/>
      <c r="K16" s="3"/>
    </row>
    <row r="17" customFormat="false" ht="15" hidden="false" customHeight="true" outlineLevel="0" collapsed="false">
      <c r="A17" s="3" t="s">
        <v>74</v>
      </c>
      <c r="B17" s="3" t="s">
        <v>167</v>
      </c>
      <c r="C17" s="3" t="s">
        <v>87</v>
      </c>
      <c r="D17" s="3" t="s">
        <v>168</v>
      </c>
      <c r="E17" s="3" t="s">
        <v>80</v>
      </c>
      <c r="F17" s="3" t="s">
        <v>169</v>
      </c>
      <c r="G17" s="3"/>
      <c r="H17" s="3"/>
      <c r="I17" s="3"/>
      <c r="J17" s="3"/>
      <c r="K17" s="3"/>
    </row>
    <row r="18" customFormat="false" ht="15" hidden="false" customHeight="true" outlineLevel="0" collapsed="false">
      <c r="A18" s="3" t="s">
        <v>74</v>
      </c>
      <c r="B18" s="3" t="s">
        <v>167</v>
      </c>
      <c r="C18" s="3" t="s">
        <v>75</v>
      </c>
      <c r="D18" s="3" t="s">
        <v>170</v>
      </c>
      <c r="E18" s="3" t="s">
        <v>117</v>
      </c>
      <c r="F18" s="3" t="s">
        <v>169</v>
      </c>
      <c r="G18" s="3"/>
      <c r="H18" s="3"/>
      <c r="I18" s="3"/>
      <c r="J18" s="3"/>
      <c r="K18" s="3"/>
    </row>
    <row r="19" customFormat="false" ht="15" hidden="false" customHeight="true" outlineLevel="0" collapsed="false">
      <c r="A19" s="3" t="s">
        <v>74</v>
      </c>
      <c r="B19" s="3" t="s">
        <v>167</v>
      </c>
      <c r="C19" s="3" t="s">
        <v>101</v>
      </c>
      <c r="D19" s="3" t="s">
        <v>171</v>
      </c>
      <c r="E19" s="3" t="s">
        <v>172</v>
      </c>
      <c r="F19" s="3" t="s">
        <v>169</v>
      </c>
      <c r="G19" s="3"/>
      <c r="H19" s="3"/>
      <c r="I19" s="3"/>
      <c r="J19" s="3"/>
      <c r="K19" s="3"/>
    </row>
    <row r="20" customFormat="false" ht="15" hidden="false" customHeight="true" outlineLevel="0" collapsed="false">
      <c r="A20" s="3" t="s">
        <v>74</v>
      </c>
      <c r="B20" s="3" t="s">
        <v>167</v>
      </c>
      <c r="C20" s="3" t="s">
        <v>89</v>
      </c>
      <c r="D20" s="3" t="s">
        <v>173</v>
      </c>
      <c r="E20" s="3" t="s">
        <v>114</v>
      </c>
      <c r="F20" s="3" t="s">
        <v>169</v>
      </c>
      <c r="G20" s="3"/>
      <c r="H20" s="3"/>
      <c r="I20" s="3"/>
      <c r="J20" s="3"/>
      <c r="K20" s="3"/>
    </row>
    <row r="21" customFormat="false" ht="15" hidden="false" customHeight="true" outlineLevel="0" collapsed="false">
      <c r="A21" s="3" t="s">
        <v>74</v>
      </c>
      <c r="B21" s="3" t="s">
        <v>167</v>
      </c>
      <c r="C21" s="3" t="s">
        <v>99</v>
      </c>
      <c r="D21" s="3" t="s">
        <v>174</v>
      </c>
      <c r="E21" s="3" t="s">
        <v>114</v>
      </c>
      <c r="F21" s="3" t="s">
        <v>169</v>
      </c>
      <c r="G21" s="3"/>
      <c r="H21" s="3"/>
      <c r="I21" s="3"/>
      <c r="J21" s="3"/>
      <c r="K21" s="3"/>
    </row>
    <row r="22" customFormat="false" ht="15" hidden="false" customHeight="true" outlineLevel="0" collapsed="false">
      <c r="A22" s="3" t="s">
        <v>74</v>
      </c>
      <c r="B22" s="3" t="s">
        <v>167</v>
      </c>
      <c r="C22" s="3" t="s">
        <v>175</v>
      </c>
      <c r="D22" s="3" t="s">
        <v>176</v>
      </c>
      <c r="E22" s="3" t="s">
        <v>177</v>
      </c>
      <c r="F22" s="3" t="s">
        <v>169</v>
      </c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5.89"/>
    <col collapsed="false" customWidth="true" hidden="false" outlineLevel="0" max="2" min="2" style="1" width="27.24"/>
    <col collapsed="false" customWidth="true" hidden="false" outlineLevel="0" max="4" min="3" style="1" width="20.43"/>
    <col collapsed="false" customWidth="true" hidden="false" outlineLevel="0" max="5" min="5" style="1" width="11.35"/>
    <col collapsed="false" customWidth="true" hidden="false" outlineLevel="0" max="6" min="6" style="1" width="39.73"/>
  </cols>
  <sheetData>
    <row r="1" customFormat="false" ht="15" hidden="false" customHeight="true" outlineLevel="0" collapsed="false">
      <c r="A1" s="4" t="s">
        <v>61</v>
      </c>
      <c r="B1" s="4" t="s">
        <v>120</v>
      </c>
      <c r="C1" s="4" t="s">
        <v>13</v>
      </c>
      <c r="D1" s="4" t="s">
        <v>178</v>
      </c>
      <c r="E1" s="4" t="s">
        <v>179</v>
      </c>
      <c r="F1" s="4" t="s">
        <v>32</v>
      </c>
      <c r="G1" s="3"/>
      <c r="H1" s="3"/>
      <c r="I1" s="3"/>
      <c r="J1" s="3"/>
      <c r="K1" s="3"/>
    </row>
    <row r="2" customFormat="false" ht="15" hidden="false" customHeight="true" outlineLevel="0" collapsed="false">
      <c r="A2" s="3" t="s">
        <v>74</v>
      </c>
      <c r="B2" s="3" t="s">
        <v>89</v>
      </c>
      <c r="C2" s="3" t="n">
        <v>0</v>
      </c>
      <c r="D2" s="3" t="n">
        <v>900</v>
      </c>
      <c r="E2" s="6" t="b">
        <f aca="false">TRUE()</f>
        <v>1</v>
      </c>
      <c r="F2" s="3" t="s">
        <v>180</v>
      </c>
      <c r="G2" s="3"/>
      <c r="H2" s="3"/>
      <c r="I2" s="3"/>
      <c r="J2" s="3"/>
      <c r="K2" s="3"/>
    </row>
    <row r="3" customFormat="false" ht="15" hidden="false" customHeight="true" outlineLevel="0" collapsed="false">
      <c r="A3" s="3" t="s">
        <v>74</v>
      </c>
      <c r="B3" s="3" t="s">
        <v>99</v>
      </c>
      <c r="C3" s="3" t="n">
        <v>0</v>
      </c>
      <c r="D3" s="3" t="n">
        <v>900</v>
      </c>
      <c r="E3" s="6" t="b">
        <f aca="false">TRUE()</f>
        <v>1</v>
      </c>
      <c r="F3" s="3" t="s">
        <v>180</v>
      </c>
      <c r="G3" s="3"/>
      <c r="H3" s="3"/>
      <c r="I3" s="3"/>
      <c r="J3" s="3"/>
      <c r="K3" s="3"/>
    </row>
    <row r="4" customFormat="false" ht="15" hidden="false" customHeight="true" outlineLevel="0" collapsed="false">
      <c r="A4" s="3" t="s">
        <v>74</v>
      </c>
      <c r="B4" s="3" t="s">
        <v>101</v>
      </c>
      <c r="C4" s="3" t="n">
        <v>0</v>
      </c>
      <c r="D4" s="3" t="n">
        <v>900</v>
      </c>
      <c r="E4" s="6" t="b">
        <f aca="false">TRUE()</f>
        <v>1</v>
      </c>
      <c r="F4" s="3" t="s">
        <v>180</v>
      </c>
      <c r="G4" s="3"/>
      <c r="H4" s="3"/>
      <c r="I4" s="3"/>
      <c r="J4" s="3"/>
      <c r="K4" s="3"/>
    </row>
    <row r="5" customFormat="false" ht="15" hidden="false" customHeight="true" outlineLevel="0" collapsed="false">
      <c r="A5" s="3" t="s">
        <v>74</v>
      </c>
      <c r="B5" s="3" t="s">
        <v>87</v>
      </c>
      <c r="C5" s="3" t="n">
        <v>0</v>
      </c>
      <c r="D5" s="3" t="n">
        <v>900</v>
      </c>
      <c r="E5" s="6" t="b">
        <f aca="false">TRUE()</f>
        <v>1</v>
      </c>
      <c r="F5" s="3" t="s">
        <v>180</v>
      </c>
      <c r="G5" s="3"/>
      <c r="H5" s="3"/>
      <c r="I5" s="3"/>
      <c r="J5" s="3"/>
      <c r="K5" s="3"/>
    </row>
    <row r="6" customFormat="false" ht="15" hidden="false" customHeight="true" outlineLevel="0" collapsed="false">
      <c r="A6" s="3" t="s">
        <v>74</v>
      </c>
      <c r="B6" s="3" t="s">
        <v>75</v>
      </c>
      <c r="C6" s="3" t="n">
        <v>0</v>
      </c>
      <c r="D6" s="3" t="n">
        <v>900</v>
      </c>
      <c r="E6" s="6" t="b">
        <f aca="false">TRUE()</f>
        <v>1</v>
      </c>
      <c r="F6" s="3" t="s">
        <v>180</v>
      </c>
      <c r="G6" s="3"/>
      <c r="H6" s="3"/>
      <c r="I6" s="3"/>
      <c r="J6" s="3"/>
      <c r="K6" s="3"/>
    </row>
    <row r="7" customFormat="false" ht="15" hidden="false" customHeight="true" outlineLevel="0" collapsed="false">
      <c r="A7" s="3" t="s">
        <v>74</v>
      </c>
      <c r="B7" s="3" t="s">
        <v>175</v>
      </c>
      <c r="C7" s="3" t="n">
        <v>0</v>
      </c>
      <c r="D7" s="3" t="n">
        <v>900</v>
      </c>
      <c r="E7" s="6" t="b">
        <f aca="false">TRUE()</f>
        <v>1</v>
      </c>
      <c r="F7" s="3" t="s">
        <v>180</v>
      </c>
      <c r="G7" s="3"/>
      <c r="H7" s="3"/>
      <c r="I7" s="3"/>
      <c r="J7" s="3"/>
      <c r="K7" s="3"/>
    </row>
    <row r="8" customFormat="false" ht="15" hidden="false" customHeight="true" outlineLevel="0" collapsed="false">
      <c r="A8" s="3" t="s">
        <v>68</v>
      </c>
      <c r="B8" s="3" t="s">
        <v>181</v>
      </c>
      <c r="C8" s="3" t="n">
        <v>0</v>
      </c>
      <c r="D8" s="3" t="n">
        <v>900</v>
      </c>
      <c r="E8" s="6" t="b">
        <f aca="false">TRUE()</f>
        <v>1</v>
      </c>
      <c r="F8" s="3" t="s">
        <v>180</v>
      </c>
      <c r="G8" s="3"/>
      <c r="H8" s="3"/>
      <c r="I8" s="3"/>
      <c r="J8" s="3"/>
      <c r="K8" s="3"/>
    </row>
    <row r="9" customFormat="false" ht="15" hidden="false" customHeight="true" outlineLevel="0" collapsed="false">
      <c r="A9" s="3" t="s">
        <v>68</v>
      </c>
      <c r="B9" s="3" t="s">
        <v>182</v>
      </c>
      <c r="C9" s="3" t="n">
        <v>0</v>
      </c>
      <c r="D9" s="3" t="n">
        <v>900</v>
      </c>
      <c r="E9" s="6" t="b">
        <f aca="false">TRUE()</f>
        <v>1</v>
      </c>
      <c r="F9" s="3" t="s">
        <v>180</v>
      </c>
      <c r="G9" s="3"/>
      <c r="H9" s="3"/>
      <c r="I9" s="3"/>
      <c r="J9" s="3"/>
      <c r="K9" s="3"/>
    </row>
    <row r="10" customFormat="false" ht="15" hidden="false" customHeight="true" outlineLevel="0" collapsed="false">
      <c r="A10" s="3" t="s">
        <v>68</v>
      </c>
      <c r="B10" s="3" t="s">
        <v>140</v>
      </c>
      <c r="C10" s="3" t="n">
        <v>0</v>
      </c>
      <c r="D10" s="3" t="n">
        <v>900</v>
      </c>
      <c r="E10" s="6" t="b">
        <f aca="false">TRUE()</f>
        <v>1</v>
      </c>
      <c r="F10" s="3" t="s">
        <v>180</v>
      </c>
      <c r="G10" s="3"/>
      <c r="H10" s="3"/>
      <c r="I10" s="3"/>
      <c r="J10" s="3"/>
      <c r="K10" s="3"/>
    </row>
    <row r="11" customFormat="false" ht="15" hidden="false" customHeight="true" outlineLevel="0" collapsed="false">
      <c r="A11" s="3" t="s">
        <v>68</v>
      </c>
      <c r="B11" s="3" t="s">
        <v>143</v>
      </c>
      <c r="C11" s="3" t="n">
        <v>0</v>
      </c>
      <c r="D11" s="3" t="n">
        <v>900</v>
      </c>
      <c r="E11" s="6" t="b">
        <f aca="false">TRUE()</f>
        <v>1</v>
      </c>
      <c r="F11" s="3" t="s">
        <v>180</v>
      </c>
      <c r="G11" s="3"/>
      <c r="H11" s="3"/>
      <c r="I11" s="3"/>
      <c r="J11" s="3"/>
      <c r="K11" s="3"/>
    </row>
    <row r="12" customFormat="false" ht="15" hidden="false" customHeight="true" outlineLevel="0" collapsed="false">
      <c r="A12" s="3" t="s">
        <v>68</v>
      </c>
      <c r="B12" s="3" t="s">
        <v>147</v>
      </c>
      <c r="C12" s="3" t="n">
        <v>0</v>
      </c>
      <c r="D12" s="3" t="n">
        <v>900</v>
      </c>
      <c r="E12" s="6" t="b">
        <f aca="false">TRUE()</f>
        <v>1</v>
      </c>
      <c r="F12" s="3" t="s">
        <v>180</v>
      </c>
      <c r="G12" s="3"/>
      <c r="H12" s="3"/>
      <c r="I12" s="3"/>
      <c r="J12" s="3"/>
      <c r="K12" s="3"/>
    </row>
    <row r="13" customFormat="false" ht="15" hidden="false" customHeight="true" outlineLevel="0" collapsed="false">
      <c r="A13" s="3" t="s">
        <v>68</v>
      </c>
      <c r="B13" s="3" t="s">
        <v>151</v>
      </c>
      <c r="C13" s="3" t="n">
        <v>0</v>
      </c>
      <c r="D13" s="3" t="n">
        <v>900</v>
      </c>
      <c r="E13" s="6" t="b">
        <f aca="false">TRUE()</f>
        <v>1</v>
      </c>
      <c r="F13" s="3" t="s">
        <v>180</v>
      </c>
      <c r="G13" s="3"/>
      <c r="H13" s="3"/>
      <c r="I13" s="3"/>
      <c r="J13" s="3"/>
      <c r="K13" s="3"/>
    </row>
    <row r="14" customFormat="false" ht="15" hidden="false" customHeight="true" outlineLevel="0" collapsed="false">
      <c r="A14" s="3" t="s">
        <v>68</v>
      </c>
      <c r="B14" s="3" t="s">
        <v>155</v>
      </c>
      <c r="C14" s="3" t="n">
        <v>0</v>
      </c>
      <c r="D14" s="3" t="n">
        <v>900</v>
      </c>
      <c r="E14" s="6" t="b">
        <f aca="false">TRUE()</f>
        <v>1</v>
      </c>
      <c r="F14" s="3" t="s">
        <v>180</v>
      </c>
      <c r="G14" s="3"/>
      <c r="H14" s="3"/>
      <c r="I14" s="3"/>
      <c r="J14" s="3"/>
      <c r="K14" s="3"/>
    </row>
    <row r="15" customFormat="false" ht="15" hidden="false" customHeight="true" outlineLevel="0" collapsed="false">
      <c r="A15" s="3" t="s">
        <v>68</v>
      </c>
      <c r="B15" s="3" t="s">
        <v>157</v>
      </c>
      <c r="C15" s="3" t="n">
        <v>0</v>
      </c>
      <c r="D15" s="3" t="n">
        <v>900</v>
      </c>
      <c r="E15" s="6" t="b">
        <f aca="false">TRUE()</f>
        <v>1</v>
      </c>
      <c r="F15" s="3" t="s">
        <v>180</v>
      </c>
      <c r="G15" s="3"/>
      <c r="H15" s="3"/>
      <c r="I15" s="3"/>
      <c r="J15" s="3"/>
      <c r="K15" s="3"/>
    </row>
    <row r="16" customFormat="false" ht="15" hidden="false" customHeight="true" outlineLevel="0" collapsed="false">
      <c r="A16" s="3" t="s">
        <v>68</v>
      </c>
      <c r="B16" s="3" t="s">
        <v>161</v>
      </c>
      <c r="C16" s="3" t="n">
        <v>0</v>
      </c>
      <c r="D16" s="3" t="n">
        <v>900</v>
      </c>
      <c r="E16" s="6" t="b">
        <f aca="false">TRUE()</f>
        <v>1</v>
      </c>
      <c r="F16" s="3" t="s">
        <v>180</v>
      </c>
      <c r="G16" s="3"/>
      <c r="H16" s="3"/>
      <c r="I16" s="3"/>
      <c r="J16" s="3"/>
      <c r="K16" s="3"/>
    </row>
    <row r="17" customFormat="false" ht="15" hidden="false" customHeight="true" outlineLevel="0" collapsed="false">
      <c r="A17" s="3" t="s">
        <v>68</v>
      </c>
      <c r="B17" s="3" t="s">
        <v>85</v>
      </c>
      <c r="C17" s="3" t="n">
        <v>0</v>
      </c>
      <c r="D17" s="3" t="n">
        <v>900</v>
      </c>
      <c r="E17" s="6" t="b">
        <f aca="false">TRUE()</f>
        <v>1</v>
      </c>
      <c r="F17" s="3" t="s">
        <v>180</v>
      </c>
      <c r="G17" s="3"/>
      <c r="H17" s="3"/>
      <c r="I17" s="3"/>
      <c r="J17" s="3"/>
      <c r="K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dataValidations count="1">
    <dataValidation allowBlank="false" errorStyle="stop" operator="between" showDropDown="false" showErrorMessage="false" showInputMessage="false" sqref="E2:E200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4" min="1" style="1" width="20.43"/>
    <col collapsed="false" customWidth="true" hidden="false" outlineLevel="0" max="5" min="5" style="1" width="15.89"/>
  </cols>
  <sheetData>
    <row r="1" customFormat="false" ht="15" hidden="false" customHeight="true" outlineLevel="0" collapsed="false">
      <c r="A1" s="4" t="s">
        <v>183</v>
      </c>
      <c r="B1" s="4" t="s">
        <v>184</v>
      </c>
      <c r="C1" s="4" t="s">
        <v>185</v>
      </c>
      <c r="D1" s="4" t="s">
        <v>186</v>
      </c>
      <c r="E1" s="4" t="s">
        <v>187</v>
      </c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3" t="s">
        <v>188</v>
      </c>
      <c r="B2" s="3" t="n">
        <v>10</v>
      </c>
      <c r="C2" s="3" t="n">
        <v>12</v>
      </c>
      <c r="D2" s="3" t="n">
        <v>38</v>
      </c>
      <c r="E2" s="7" t="n">
        <f aca="false">D2/SUM($D$2:$D$5)</f>
        <v>0.0422222222222222</v>
      </c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 t="s">
        <v>189</v>
      </c>
      <c r="B3" s="3" t="n">
        <v>12</v>
      </c>
      <c r="C3" s="3" t="n">
        <v>14</v>
      </c>
      <c r="D3" s="3" t="n">
        <v>264</v>
      </c>
      <c r="E3" s="7" t="n">
        <f aca="false">D3/SUM($D$2:$D$5)</f>
        <v>0.293333333333333</v>
      </c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3" t="s">
        <v>190</v>
      </c>
      <c r="B4" s="3" t="n">
        <v>14</v>
      </c>
      <c r="C4" s="3" t="n">
        <v>16</v>
      </c>
      <c r="D4" s="3" t="n">
        <v>502</v>
      </c>
      <c r="E4" s="7" t="n">
        <f aca="false">D4/SUM($D$2:$D$5)</f>
        <v>0.557777777777778</v>
      </c>
      <c r="F4" s="3"/>
      <c r="G4" s="3"/>
      <c r="H4" s="3"/>
      <c r="I4" s="3"/>
      <c r="J4" s="3"/>
      <c r="K4" s="3"/>
    </row>
    <row r="5" customFormat="false" ht="15" hidden="false" customHeight="true" outlineLevel="0" collapsed="false">
      <c r="A5" s="3" t="s">
        <v>191</v>
      </c>
      <c r="B5" s="3" t="n">
        <v>16</v>
      </c>
      <c r="C5" s="3" t="n">
        <v>20.0001</v>
      </c>
      <c r="D5" s="3" t="n">
        <v>96</v>
      </c>
      <c r="E5" s="7" t="n">
        <f aca="false">D5/SUM($D$2:$D$5)</f>
        <v>0.106666666666667</v>
      </c>
      <c r="F5" s="3"/>
      <c r="G5" s="3"/>
      <c r="H5" s="3"/>
      <c r="I5" s="3"/>
      <c r="J5" s="3"/>
      <c r="K5" s="3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0" min="1" style="1" width="13.62"/>
    <col collapsed="false" customWidth="true" hidden="false" outlineLevel="0" max="11" min="11" style="1" width="20.43"/>
  </cols>
  <sheetData>
    <row r="1" customFormat="false" ht="15" hidden="false" customHeight="true" outlineLevel="0" collapsed="false">
      <c r="A1" s="4" t="s">
        <v>28</v>
      </c>
      <c r="B1" s="4" t="s">
        <v>192</v>
      </c>
      <c r="C1" s="4" t="s">
        <v>193</v>
      </c>
      <c r="D1" s="4" t="s">
        <v>194</v>
      </c>
      <c r="E1" s="4" t="s">
        <v>195</v>
      </c>
      <c r="F1" s="4" t="s">
        <v>196</v>
      </c>
      <c r="G1" s="4" t="s">
        <v>197</v>
      </c>
      <c r="H1" s="4" t="s">
        <v>198</v>
      </c>
      <c r="I1" s="4" t="s">
        <v>199</v>
      </c>
      <c r="J1" s="4" t="s">
        <v>200</v>
      </c>
      <c r="K1" s="4" t="s">
        <v>201</v>
      </c>
    </row>
    <row r="2" customFormat="false" ht="15" hidden="false" customHeight="true" outlineLevel="0" collapsed="false">
      <c r="A2" s="3" t="s">
        <v>33</v>
      </c>
      <c r="B2" s="3" t="n">
        <v>6144</v>
      </c>
      <c r="C2" s="3" t="n">
        <v>5722</v>
      </c>
      <c r="D2" s="3" t="n">
        <v>11866</v>
      </c>
      <c r="E2" s="3" t="n">
        <v>5944</v>
      </c>
      <c r="F2" s="3" t="n">
        <v>5476</v>
      </c>
      <c r="G2" s="3" t="n">
        <v>11420</v>
      </c>
      <c r="H2" s="3" t="n">
        <v>3615</v>
      </c>
      <c r="I2" s="3" t="n">
        <v>2927</v>
      </c>
      <c r="J2" s="3" t="n">
        <v>6542</v>
      </c>
      <c r="K2" s="7" t="n">
        <v>0.5729</v>
      </c>
    </row>
    <row r="3" customFormat="false" ht="15" hidden="false" customHeight="true" outlineLevel="0" collapsed="false">
      <c r="A3" s="3" t="s">
        <v>44</v>
      </c>
      <c r="B3" s="3" t="n">
        <v>87814</v>
      </c>
      <c r="C3" s="3" t="n">
        <v>65330</v>
      </c>
      <c r="D3" s="3" t="n">
        <v>153144</v>
      </c>
      <c r="E3" s="3" t="n">
        <v>84735</v>
      </c>
      <c r="F3" s="3" t="n">
        <v>62345</v>
      </c>
      <c r="G3" s="3" t="n">
        <v>147080</v>
      </c>
      <c r="H3" s="3" t="n">
        <v>32906</v>
      </c>
      <c r="I3" s="3" t="n">
        <v>24808</v>
      </c>
      <c r="J3" s="3" t="n">
        <v>57714</v>
      </c>
      <c r="K3" s="7" t="n">
        <v>0.3924</v>
      </c>
    </row>
    <row r="4" customFormat="false" ht="15" hidden="false" customHeight="true" outlineLevel="0" collapsed="false">
      <c r="A4" s="3" t="s">
        <v>46</v>
      </c>
      <c r="B4" s="3" t="n">
        <v>2642</v>
      </c>
      <c r="C4" s="3" t="n">
        <v>2541</v>
      </c>
      <c r="D4" s="3" t="n">
        <v>5183</v>
      </c>
      <c r="E4" s="3" t="n">
        <v>2573</v>
      </c>
      <c r="F4" s="3" t="n">
        <v>2470</v>
      </c>
      <c r="G4" s="3" t="n">
        <v>5043</v>
      </c>
      <c r="H4" s="3" t="n">
        <v>811</v>
      </c>
      <c r="I4" s="3" t="n">
        <v>849</v>
      </c>
      <c r="J4" s="3" t="n">
        <v>1660</v>
      </c>
      <c r="K4" s="7" t="n">
        <v>0.3292</v>
      </c>
    </row>
    <row r="5" customFormat="false" ht="15" hidden="false" customHeight="true" outlineLevel="0" collapsed="false">
      <c r="A5" s="3" t="s">
        <v>50</v>
      </c>
      <c r="B5" s="3" t="n">
        <v>936</v>
      </c>
      <c r="C5" s="3" t="n">
        <v>1863</v>
      </c>
      <c r="D5" s="3" t="n">
        <v>2799</v>
      </c>
      <c r="E5" s="3" t="n">
        <v>931</v>
      </c>
      <c r="F5" s="3" t="n">
        <v>1850</v>
      </c>
      <c r="G5" s="3" t="n">
        <v>2781</v>
      </c>
      <c r="H5" s="3" t="n">
        <v>791</v>
      </c>
      <c r="I5" s="3" t="n">
        <v>1502</v>
      </c>
      <c r="J5" s="3" t="n">
        <v>2293</v>
      </c>
      <c r="K5" s="7" t="n">
        <v>0.8245</v>
      </c>
    </row>
    <row r="6" customFormat="false" ht="15" hidden="false" customHeight="true" outlineLevel="0" collapsed="false">
      <c r="A6" s="3" t="s">
        <v>53</v>
      </c>
      <c r="B6" s="3" t="n">
        <v>59761</v>
      </c>
      <c r="C6" s="3" t="n">
        <v>84379</v>
      </c>
      <c r="D6" s="3" t="n">
        <v>144140</v>
      </c>
      <c r="E6" s="3" t="n">
        <v>58656</v>
      </c>
      <c r="F6" s="3" t="n">
        <v>81831</v>
      </c>
      <c r="G6" s="3" t="n">
        <v>140487</v>
      </c>
      <c r="H6" s="3" t="n">
        <v>23324</v>
      </c>
      <c r="I6" s="3" t="n">
        <v>29558</v>
      </c>
      <c r="J6" s="3" t="n">
        <v>52882</v>
      </c>
      <c r="K6" s="7" t="n">
        <v>0.3764</v>
      </c>
    </row>
    <row r="7" customFormat="false" ht="15" hidden="false" customHeight="true" outlineLevel="0" collapsed="false">
      <c r="A7" s="3" t="s">
        <v>54</v>
      </c>
      <c r="B7" s="3" t="n">
        <v>14</v>
      </c>
      <c r="C7" s="3" t="n">
        <v>36</v>
      </c>
      <c r="D7" s="3" t="n">
        <v>50</v>
      </c>
      <c r="E7" s="3" t="n">
        <v>14</v>
      </c>
      <c r="F7" s="3" t="n">
        <v>35</v>
      </c>
      <c r="G7" s="3" t="n">
        <v>49</v>
      </c>
      <c r="H7" s="3" t="n">
        <v>12</v>
      </c>
      <c r="I7" s="3" t="n">
        <v>34</v>
      </c>
      <c r="J7" s="3" t="n">
        <v>46</v>
      </c>
      <c r="K7" s="7" t="n">
        <v>0.9388</v>
      </c>
    </row>
    <row r="8" customFormat="false" ht="15" hidden="false" customHeight="true" outlineLevel="0" collapsed="false">
      <c r="A8" s="3" t="s">
        <v>55</v>
      </c>
      <c r="B8" s="3" t="n">
        <v>19</v>
      </c>
      <c r="C8" s="3" t="n">
        <v>74</v>
      </c>
      <c r="D8" s="3" t="n">
        <v>93</v>
      </c>
      <c r="E8" s="3" t="n">
        <v>19</v>
      </c>
      <c r="F8" s="3" t="n">
        <v>72</v>
      </c>
      <c r="G8" s="3" t="n">
        <v>91</v>
      </c>
      <c r="H8" s="3" t="n">
        <v>15</v>
      </c>
      <c r="I8" s="3" t="n">
        <v>52</v>
      </c>
      <c r="J8" s="3" t="n">
        <v>67</v>
      </c>
      <c r="K8" s="7" t="n">
        <v>0.7363</v>
      </c>
    </row>
    <row r="9" customFormat="false" ht="15" hidden="false" customHeight="true" outlineLevel="0" collapsed="false">
      <c r="A9" s="3" t="s">
        <v>56</v>
      </c>
      <c r="B9" s="3" t="n">
        <v>586</v>
      </c>
      <c r="C9" s="3" t="n">
        <v>2557</v>
      </c>
      <c r="D9" s="3" t="n">
        <v>3143</v>
      </c>
      <c r="E9" s="3" t="n">
        <v>570</v>
      </c>
      <c r="F9" s="3" t="n">
        <v>2465</v>
      </c>
      <c r="G9" s="3" t="n">
        <v>3035</v>
      </c>
      <c r="H9" s="3" t="n">
        <v>194</v>
      </c>
      <c r="I9" s="3" t="n">
        <v>762</v>
      </c>
      <c r="J9" s="3" t="n">
        <v>956</v>
      </c>
      <c r="K9" s="7" t="n">
        <v>0.315</v>
      </c>
    </row>
    <row r="10" customFormat="false" ht="15" hidden="false" customHeight="true" outlineLevel="0" collapsed="false">
      <c r="A10" s="3" t="s">
        <v>57</v>
      </c>
      <c r="B10" s="3" t="n">
        <v>29</v>
      </c>
      <c r="C10" s="3" t="n">
        <v>53</v>
      </c>
      <c r="D10" s="3" t="n">
        <v>82</v>
      </c>
      <c r="E10" s="3" t="n">
        <v>27</v>
      </c>
      <c r="F10" s="3" t="n">
        <v>50</v>
      </c>
      <c r="G10" s="3" t="n">
        <v>77</v>
      </c>
      <c r="H10" s="3" t="n">
        <v>24</v>
      </c>
      <c r="I10" s="3" t="n">
        <v>39</v>
      </c>
      <c r="J10" s="3" t="n">
        <v>63</v>
      </c>
      <c r="K10" s="7" t="n">
        <v>0.8182</v>
      </c>
    </row>
    <row r="11" customFormat="false" ht="15" hidden="false" customHeight="true" outlineLevel="0" collapsed="false">
      <c r="A11" s="3" t="s">
        <v>58</v>
      </c>
      <c r="B11" s="3" t="n">
        <v>39</v>
      </c>
      <c r="C11" s="3" t="n">
        <v>121</v>
      </c>
      <c r="D11" s="3" t="n">
        <v>160</v>
      </c>
      <c r="E11" s="3" t="n">
        <v>38</v>
      </c>
      <c r="F11" s="3" t="n">
        <v>116</v>
      </c>
      <c r="G11" s="3" t="n">
        <v>154</v>
      </c>
      <c r="H11" s="3" t="n">
        <v>32</v>
      </c>
      <c r="I11" s="3" t="n">
        <v>88</v>
      </c>
      <c r="J11" s="3" t="n">
        <v>120</v>
      </c>
      <c r="K11" s="7" t="n">
        <v>0.7792</v>
      </c>
    </row>
    <row r="12" customFormat="false" ht="15" hidden="false" customHeight="true" outlineLevel="0" collapsed="false">
      <c r="A12" s="3" t="s">
        <v>59</v>
      </c>
      <c r="B12" s="3" t="n">
        <v>44</v>
      </c>
      <c r="C12" s="3" t="n">
        <v>59</v>
      </c>
      <c r="D12" s="3" t="n">
        <v>103</v>
      </c>
      <c r="E12" s="3" t="n">
        <v>41</v>
      </c>
      <c r="F12" s="3" t="n">
        <v>57</v>
      </c>
      <c r="G12" s="3" t="n">
        <v>98</v>
      </c>
      <c r="H12" s="3" t="n">
        <v>34</v>
      </c>
      <c r="I12" s="3" t="n">
        <v>49</v>
      </c>
      <c r="J12" s="3" t="n">
        <v>83</v>
      </c>
      <c r="K12" s="7" t="n">
        <v>0.8469</v>
      </c>
    </row>
    <row r="13" customFormat="false" ht="15" hidden="false" customHeight="true" outlineLevel="0" collapsed="false">
      <c r="A13" s="3" t="s">
        <v>202</v>
      </c>
      <c r="B13" s="3" t="n">
        <v>5662</v>
      </c>
      <c r="C13" s="3" t="n">
        <v>740</v>
      </c>
      <c r="D13" s="3" t="n">
        <v>6402</v>
      </c>
      <c r="E13" s="3" t="n">
        <v>5497</v>
      </c>
      <c r="F13" s="3" t="n">
        <v>703</v>
      </c>
      <c r="G13" s="3" t="n">
        <v>6200</v>
      </c>
      <c r="H13" s="3" t="n">
        <v>2830</v>
      </c>
      <c r="I13" s="3" t="n">
        <v>317</v>
      </c>
      <c r="J13" s="3" t="n">
        <v>3147</v>
      </c>
      <c r="K13" s="7" t="n">
        <v>0.5076</v>
      </c>
    </row>
    <row r="14" customFormat="false" ht="15" hidden="false" customHeight="true" outlineLevel="0" collapsed="false">
      <c r="A14" s="3" t="s">
        <v>60</v>
      </c>
      <c r="B14" s="3" t="n">
        <v>8024</v>
      </c>
      <c r="C14" s="3" t="n">
        <v>8099</v>
      </c>
      <c r="D14" s="3" t="n">
        <v>16123</v>
      </c>
      <c r="E14" s="3" t="n">
        <v>7742</v>
      </c>
      <c r="F14" s="3" t="n">
        <v>7789</v>
      </c>
      <c r="G14" s="3" t="n">
        <v>15531</v>
      </c>
      <c r="H14" s="3" t="n">
        <v>4061</v>
      </c>
      <c r="I14" s="3" t="n">
        <v>3431</v>
      </c>
      <c r="J14" s="3" t="n">
        <v>7492</v>
      </c>
      <c r="K14" s="7" t="n">
        <v>0.4824</v>
      </c>
    </row>
    <row r="15" customFormat="false" ht="15" hidden="false" customHeight="true" outlineLevel="0" collapsed="false">
      <c r="A15" s="3" t="s">
        <v>203</v>
      </c>
      <c r="B15" s="3" t="n">
        <v>31</v>
      </c>
      <c r="C15" s="3" t="n">
        <v>40</v>
      </c>
      <c r="D15" s="3" t="n">
        <v>71</v>
      </c>
      <c r="E15" s="3" t="n">
        <v>31</v>
      </c>
      <c r="F15" s="3" t="n">
        <v>40</v>
      </c>
      <c r="G15" s="3" t="n">
        <v>71</v>
      </c>
      <c r="H15" s="3" t="n">
        <v>31</v>
      </c>
      <c r="I15" s="3" t="n">
        <v>40</v>
      </c>
      <c r="J15" s="3" t="n">
        <v>71</v>
      </c>
      <c r="K15" s="7" t="n">
        <v>1</v>
      </c>
    </row>
    <row r="16" customFormat="false" ht="15" hidden="false" customHeight="true" outlineLevel="0" collapsed="false">
      <c r="A16" s="3" t="s">
        <v>204</v>
      </c>
      <c r="B16" s="3" t="n">
        <v>21</v>
      </c>
      <c r="C16" s="3" t="n">
        <v>58</v>
      </c>
      <c r="D16" s="3" t="n">
        <v>79</v>
      </c>
      <c r="E16" s="3" t="n">
        <v>20</v>
      </c>
      <c r="F16" s="3" t="n">
        <v>55</v>
      </c>
      <c r="G16" s="3" t="n">
        <v>75</v>
      </c>
      <c r="H16" s="3" t="n">
        <v>18</v>
      </c>
      <c r="I16" s="3" t="n">
        <v>48</v>
      </c>
      <c r="J16" s="3" t="n">
        <v>66</v>
      </c>
      <c r="K16" s="7" t="n">
        <v>0.88</v>
      </c>
    </row>
    <row r="17" customFormat="false" ht="15" hidden="false" customHeight="true" outlineLevel="0" collapsed="false">
      <c r="A17" s="3" t="s">
        <v>205</v>
      </c>
      <c r="B17" s="3" t="n">
        <v>206</v>
      </c>
      <c r="C17" s="3" t="n">
        <v>148</v>
      </c>
      <c r="D17" s="3" t="n">
        <v>354</v>
      </c>
      <c r="E17" s="3" t="n">
        <v>190</v>
      </c>
      <c r="F17" s="3" t="n">
        <v>133</v>
      </c>
      <c r="G17" s="3" t="n">
        <v>323</v>
      </c>
      <c r="H17" s="3" t="n">
        <v>185</v>
      </c>
      <c r="I17" s="3" t="n">
        <v>131</v>
      </c>
      <c r="J17" s="3" t="n">
        <v>316</v>
      </c>
      <c r="K17" s="7" t="n">
        <v>0.9783</v>
      </c>
    </row>
    <row r="18" customFormat="false" ht="15" hidden="false" customHeight="true" outlineLevel="0" collapsed="false">
      <c r="A18" s="3" t="s">
        <v>206</v>
      </c>
      <c r="B18" s="3" t="n">
        <v>171972</v>
      </c>
      <c r="C18" s="3" t="n">
        <v>171820</v>
      </c>
      <c r="D18" s="3" t="n">
        <v>343792</v>
      </c>
      <c r="E18" s="3" t="n">
        <v>167028</v>
      </c>
      <c r="F18" s="3" t="n">
        <v>165487</v>
      </c>
      <c r="G18" s="3" t="n">
        <v>332515</v>
      </c>
      <c r="H18" s="3" t="n">
        <v>68883</v>
      </c>
      <c r="I18" s="3" t="n">
        <v>64635</v>
      </c>
      <c r="J18" s="3" t="n">
        <v>133518</v>
      </c>
      <c r="K18" s="7" t="n">
        <v>0.4015</v>
      </c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2026-07-15T02:20:11Z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